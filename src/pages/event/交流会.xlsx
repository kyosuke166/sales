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imur\Documents\Develop\sales\src\pages\event\"/>
    </mc:Choice>
  </mc:AlternateContent>
  <xr:revisionPtr revIDLastSave="0" documentId="13_ncr:1_{7B0F4A2D-B1D6-477D-9DF2-AF5BD6A4F801}" xr6:coauthVersionLast="47" xr6:coauthVersionMax="47" xr10:uidLastSave="{00000000-0000-0000-0000-000000000000}"/>
  <bookViews>
    <workbookView xWindow="-5355" yWindow="-15285" windowWidth="25800" windowHeight="14130" xr2:uid="{00000000-000D-0000-FFFF-FFFF00000000}"/>
  </bookViews>
  <sheets>
    <sheet name="2025" sheetId="1" r:id="rId1"/>
  </sheets>
  <definedNames>
    <definedName name="_xlnm._FilterDatabase" localSheetId="0" hidden="1">'2025'!$A$2:$K$368</definedName>
    <definedName name="_xlnm.Print_Area" localSheetId="0">'2025'!$A$2:$K$641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2" i="1" l="1"/>
  <c r="B543" i="1"/>
  <c r="B544" i="1"/>
  <c r="B566" i="1"/>
  <c r="B562" i="1"/>
  <c r="B563" i="1"/>
  <c r="B564" i="1"/>
  <c r="B565" i="1"/>
  <c r="B561" i="1"/>
  <c r="B559" i="1"/>
  <c r="B560" i="1"/>
  <c r="B567" i="1"/>
  <c r="B553" i="1"/>
  <c r="B554" i="1"/>
  <c r="B555" i="1"/>
  <c r="B556" i="1"/>
  <c r="B552" i="1"/>
  <c r="B548" i="1"/>
  <c r="B549" i="1"/>
  <c r="B550" i="1"/>
  <c r="B551" i="1"/>
  <c r="B557" i="1"/>
  <c r="B541" i="1"/>
  <c r="B545" i="1"/>
  <c r="B538" i="1"/>
  <c r="B539" i="1"/>
  <c r="B540" i="1"/>
  <c r="B537" i="1"/>
  <c r="B534" i="1"/>
  <c r="B535" i="1"/>
  <c r="B536" i="1"/>
  <c r="B546" i="1"/>
  <c r="B530" i="1"/>
  <c r="B529" i="1"/>
  <c r="B526" i="1"/>
  <c r="B527" i="1"/>
  <c r="B525" i="1"/>
  <c r="B528" i="1"/>
  <c r="B524" i="1"/>
  <c r="B518" i="1"/>
  <c r="B517" i="1"/>
  <c r="B520" i="1"/>
  <c r="B519" i="1"/>
  <c r="B516" i="1"/>
  <c r="B515" i="1"/>
  <c r="B522" i="1"/>
  <c r="B521" i="1"/>
  <c r="B523" i="1"/>
  <c r="B513" i="1"/>
  <c r="B511" i="1"/>
  <c r="B512" i="1"/>
  <c r="B510" i="1"/>
  <c r="B509" i="1"/>
  <c r="B532" i="1"/>
  <c r="B507" i="1"/>
  <c r="B508" i="1"/>
  <c r="B504" i="1"/>
  <c r="B502" i="1"/>
  <c r="B499" i="1"/>
  <c r="B500" i="1"/>
  <c r="B498" i="1"/>
  <c r="B497" i="1"/>
  <c r="B496" i="1"/>
  <c r="B531" i="1"/>
  <c r="B533" i="1"/>
  <c r="B547" i="1"/>
  <c r="B558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501" i="1"/>
  <c r="B503" i="1"/>
  <c r="B505" i="1"/>
  <c r="B506" i="1"/>
  <c r="B456" i="1"/>
  <c r="B454" i="1"/>
  <c r="B453" i="1"/>
  <c r="B452" i="1"/>
  <c r="B451" i="1"/>
  <c r="B449" i="1"/>
  <c r="B447" i="1"/>
  <c r="B446" i="1"/>
  <c r="B445" i="1"/>
  <c r="B444" i="1"/>
  <c r="B443" i="1"/>
  <c r="B440" i="1"/>
  <c r="B439" i="1"/>
  <c r="B437" i="1"/>
  <c r="B435" i="1"/>
  <c r="B433" i="1"/>
  <c r="B432" i="1"/>
  <c r="B431" i="1"/>
  <c r="B430" i="1"/>
  <c r="B428" i="1"/>
  <c r="B427" i="1"/>
  <c r="B426" i="1"/>
  <c r="B425" i="1"/>
  <c r="B424" i="1"/>
  <c r="B421" i="1"/>
  <c r="B418" i="1"/>
  <c r="B411" i="1"/>
  <c r="B409" i="1"/>
  <c r="B406" i="1"/>
  <c r="B402" i="1"/>
  <c r="B398" i="1"/>
  <c r="K589" i="1"/>
  <c r="L589" i="1" s="1"/>
  <c r="B589" i="1"/>
  <c r="K588" i="1"/>
  <c r="L588" i="1" s="1"/>
  <c r="B588" i="1"/>
  <c r="K587" i="1"/>
  <c r="L587" i="1" s="1"/>
  <c r="B587" i="1"/>
  <c r="K586" i="1"/>
  <c r="L586" i="1" s="1"/>
  <c r="B586" i="1"/>
  <c r="K585" i="1"/>
  <c r="L585" i="1" s="1"/>
  <c r="B585" i="1"/>
  <c r="K584" i="1"/>
  <c r="L584" i="1" s="1"/>
  <c r="B584" i="1"/>
  <c r="K583" i="1"/>
  <c r="L583" i="1" s="1"/>
  <c r="B583" i="1"/>
  <c r="K582" i="1"/>
  <c r="L582" i="1" s="1"/>
  <c r="B582" i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B590" i="1"/>
  <c r="K590" i="1"/>
  <c r="L590" i="1" s="1"/>
  <c r="B591" i="1"/>
  <c r="K591" i="1"/>
  <c r="L591" i="1" s="1"/>
  <c r="B592" i="1"/>
  <c r="K592" i="1"/>
  <c r="L592" i="1" s="1"/>
  <c r="B593" i="1"/>
  <c r="K593" i="1"/>
  <c r="L593" i="1" s="1"/>
  <c r="B594" i="1"/>
  <c r="K594" i="1"/>
  <c r="L594" i="1" s="1"/>
  <c r="B595" i="1"/>
  <c r="K595" i="1"/>
  <c r="L595" i="1" s="1"/>
  <c r="B596" i="1"/>
  <c r="K596" i="1"/>
  <c r="L596" i="1" s="1"/>
  <c r="B597" i="1"/>
  <c r="K597" i="1"/>
  <c r="L597" i="1" s="1"/>
  <c r="B598" i="1"/>
  <c r="K598" i="1"/>
  <c r="L598" i="1" s="1"/>
  <c r="B599" i="1"/>
  <c r="K599" i="1"/>
  <c r="L599" i="1" s="1"/>
  <c r="B600" i="1"/>
  <c r="K600" i="1"/>
  <c r="L600" i="1" s="1"/>
  <c r="B601" i="1"/>
  <c r="K601" i="1"/>
  <c r="L601" i="1" s="1"/>
  <c r="B602" i="1"/>
  <c r="K602" i="1"/>
  <c r="L602" i="1" s="1"/>
  <c r="B603" i="1"/>
  <c r="K603" i="1"/>
  <c r="L603" i="1" s="1"/>
  <c r="B604" i="1"/>
  <c r="K604" i="1"/>
  <c r="L604" i="1" s="1"/>
  <c r="B605" i="1"/>
  <c r="K605" i="1"/>
  <c r="L605" i="1" s="1"/>
  <c r="B606" i="1"/>
  <c r="K606" i="1"/>
  <c r="L606" i="1" s="1"/>
  <c r="B607" i="1"/>
  <c r="K607" i="1"/>
  <c r="L607" i="1" s="1"/>
  <c r="B608" i="1"/>
  <c r="K608" i="1"/>
  <c r="L608" i="1" s="1"/>
  <c r="B609" i="1"/>
  <c r="K609" i="1"/>
  <c r="L609" i="1" s="1"/>
  <c r="B610" i="1"/>
  <c r="K610" i="1"/>
  <c r="L610" i="1" s="1"/>
  <c r="B611" i="1"/>
  <c r="K611" i="1"/>
  <c r="L611" i="1" s="1"/>
  <c r="B612" i="1"/>
  <c r="K612" i="1"/>
  <c r="L612" i="1" s="1"/>
  <c r="B613" i="1"/>
  <c r="K613" i="1"/>
  <c r="L613" i="1" s="1"/>
  <c r="B614" i="1"/>
  <c r="K614" i="1"/>
  <c r="L614" i="1" s="1"/>
  <c r="B615" i="1"/>
  <c r="K615" i="1"/>
  <c r="L615" i="1" s="1"/>
  <c r="B616" i="1"/>
  <c r="K616" i="1"/>
  <c r="L616" i="1" s="1"/>
  <c r="B617" i="1"/>
  <c r="K617" i="1"/>
  <c r="L617" i="1" s="1"/>
  <c r="B618" i="1"/>
  <c r="K618" i="1"/>
  <c r="L618" i="1" s="1"/>
  <c r="B619" i="1"/>
  <c r="K619" i="1"/>
  <c r="L619" i="1" s="1"/>
  <c r="B620" i="1"/>
  <c r="K620" i="1"/>
  <c r="L620" i="1" s="1"/>
  <c r="B621" i="1"/>
  <c r="K621" i="1"/>
  <c r="L621" i="1" s="1"/>
  <c r="B622" i="1"/>
  <c r="K622" i="1"/>
  <c r="L622" i="1" s="1"/>
  <c r="B623" i="1"/>
  <c r="K623" i="1"/>
  <c r="L623" i="1" s="1"/>
  <c r="B624" i="1"/>
  <c r="K624" i="1"/>
  <c r="L624" i="1" s="1"/>
  <c r="B625" i="1"/>
  <c r="K625" i="1"/>
  <c r="L625" i="1" s="1"/>
  <c r="B626" i="1"/>
  <c r="K626" i="1"/>
  <c r="L626" i="1" s="1"/>
  <c r="B627" i="1"/>
  <c r="K627" i="1"/>
  <c r="L627" i="1" s="1"/>
  <c r="B628" i="1"/>
  <c r="K628" i="1"/>
  <c r="L628" i="1" s="1"/>
  <c r="B629" i="1"/>
  <c r="K629" i="1"/>
  <c r="L629" i="1" s="1"/>
  <c r="B630" i="1"/>
  <c r="K630" i="1"/>
  <c r="L630" i="1" s="1"/>
  <c r="B631" i="1"/>
  <c r="K631" i="1"/>
  <c r="L631" i="1" s="1"/>
  <c r="B632" i="1"/>
  <c r="K632" i="1"/>
  <c r="L632" i="1" s="1"/>
  <c r="B633" i="1"/>
  <c r="K633" i="1"/>
  <c r="L633" i="1" s="1"/>
  <c r="B634" i="1"/>
  <c r="K634" i="1"/>
  <c r="L634" i="1" s="1"/>
  <c r="B635" i="1"/>
  <c r="K635" i="1"/>
  <c r="L635" i="1" s="1"/>
  <c r="B636" i="1"/>
  <c r="K636" i="1"/>
  <c r="L636" i="1" s="1"/>
  <c r="B637" i="1"/>
  <c r="K637" i="1"/>
  <c r="L637" i="1" s="1"/>
  <c r="B638" i="1"/>
  <c r="K638" i="1"/>
  <c r="L638" i="1" s="1"/>
  <c r="B639" i="1"/>
  <c r="K639" i="1"/>
  <c r="L639" i="1" s="1"/>
  <c r="B640" i="1"/>
  <c r="K640" i="1"/>
  <c r="L640" i="1" s="1"/>
  <c r="B395" i="1"/>
  <c r="B514" i="1"/>
  <c r="B455" i="1"/>
  <c r="B450" i="1"/>
  <c r="B448" i="1"/>
  <c r="B442" i="1"/>
  <c r="B441" i="1"/>
  <c r="B438" i="1"/>
  <c r="B436" i="1"/>
  <c r="B434" i="1"/>
  <c r="B429" i="1"/>
  <c r="B423" i="1"/>
  <c r="B422" i="1"/>
  <c r="B420" i="1"/>
  <c r="B419" i="1"/>
  <c r="B417" i="1"/>
  <c r="B416" i="1"/>
  <c r="B415" i="1"/>
  <c r="B414" i="1"/>
  <c r="B413" i="1"/>
  <c r="B412" i="1"/>
  <c r="B410" i="1"/>
  <c r="B408" i="1"/>
  <c r="B407" i="1"/>
  <c r="B405" i="1"/>
  <c r="B404" i="1"/>
  <c r="B403" i="1"/>
  <c r="B401" i="1"/>
  <c r="B400" i="1"/>
  <c r="B399" i="1"/>
  <c r="B397" i="1"/>
  <c r="B396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33" i="1"/>
  <c r="B321" i="1" l="1"/>
  <c r="B298" i="1"/>
  <c r="B294" i="1"/>
  <c r="B282" i="1"/>
  <c r="B262" i="1"/>
  <c r="B255" i="1"/>
  <c r="B249" i="1"/>
  <c r="B350" i="1"/>
  <c r="B349" i="1"/>
  <c r="B348" i="1"/>
  <c r="B346" i="1"/>
  <c r="B343" i="1"/>
  <c r="B341" i="1"/>
  <c r="B339" i="1"/>
  <c r="B337" i="1"/>
  <c r="B330" i="1"/>
  <c r="B320" i="1"/>
  <c r="B305" i="1"/>
  <c r="B304" i="1"/>
  <c r="B303" i="1"/>
  <c r="B299" i="1"/>
  <c r="B289" i="1"/>
  <c r="B278" i="1"/>
  <c r="B277" i="1"/>
  <c r="B275" i="1"/>
  <c r="B271" i="1"/>
  <c r="B268" i="1"/>
  <c r="B266" i="1"/>
  <c r="B261" i="1"/>
  <c r="B252" i="1"/>
  <c r="B248" i="1"/>
  <c r="B247" i="1"/>
  <c r="B246" i="1"/>
  <c r="B242" i="1"/>
  <c r="B241" i="1"/>
  <c r="B236" i="1"/>
  <c r="B231" i="1"/>
  <c r="B228" i="1"/>
  <c r="B225" i="1"/>
  <c r="B218" i="1"/>
  <c r="B216" i="1"/>
  <c r="B239" i="1"/>
  <c r="B215" i="1"/>
  <c r="B214" i="1"/>
  <c r="B213" i="1"/>
  <c r="B212" i="1"/>
  <c r="B209" i="1"/>
  <c r="B207" i="1"/>
  <c r="B204" i="1"/>
  <c r="B200" i="1"/>
  <c r="B199" i="1"/>
  <c r="B197" i="1"/>
  <c r="B195" i="1"/>
  <c r="B192" i="1"/>
  <c r="B191" i="1"/>
  <c r="B190" i="1"/>
  <c r="B189" i="1"/>
  <c r="B186" i="1"/>
  <c r="B185" i="1"/>
  <c r="B184" i="1"/>
  <c r="B182" i="1"/>
  <c r="B179" i="1"/>
  <c r="B173" i="1"/>
  <c r="B171" i="1"/>
  <c r="B168" i="1"/>
  <c r="B161" i="1"/>
  <c r="B159" i="1"/>
  <c r="B156" i="1"/>
  <c r="B155" i="1"/>
  <c r="B154" i="1"/>
  <c r="B152" i="1"/>
  <c r="B150" i="1"/>
  <c r="B72" i="1"/>
  <c r="B75" i="1"/>
  <c r="B80" i="1"/>
  <c r="B92" i="1"/>
  <c r="B94" i="1"/>
  <c r="B95" i="1"/>
  <c r="B96" i="1"/>
  <c r="B97" i="1"/>
  <c r="B103" i="1"/>
  <c r="B109" i="1"/>
  <c r="B110" i="1"/>
  <c r="B113" i="1"/>
  <c r="B114" i="1"/>
  <c r="B118" i="1"/>
  <c r="B123" i="1"/>
  <c r="B125" i="1"/>
  <c r="B149" i="1"/>
  <c r="B148" i="1"/>
  <c r="B146" i="1"/>
  <c r="B145" i="1"/>
  <c r="B144" i="1"/>
  <c r="B140" i="1"/>
  <c r="B62" i="1"/>
  <c r="B137" i="1"/>
  <c r="B135" i="1"/>
  <c r="B131" i="1"/>
  <c r="B129" i="1"/>
  <c r="B124" i="1"/>
  <c r="B104" i="1"/>
  <c r="B102" i="1"/>
  <c r="B101" i="1"/>
  <c r="B98" i="1"/>
  <c r="B88" i="1"/>
  <c r="B85" i="1"/>
  <c r="B45" i="1"/>
  <c r="B21" i="1"/>
  <c r="B54" i="1"/>
  <c r="B42" i="1"/>
  <c r="B26" i="1"/>
  <c r="B5" i="1"/>
  <c r="B57" i="1"/>
  <c r="B59" i="1"/>
  <c r="B60" i="1"/>
  <c r="B66" i="1"/>
  <c r="B68" i="1"/>
  <c r="B71" i="1"/>
  <c r="B51" i="1"/>
  <c r="B53" i="1"/>
  <c r="B40" i="1"/>
  <c r="B25" i="1"/>
  <c r="B31" i="1"/>
  <c r="B38" i="1"/>
  <c r="B3" i="1"/>
  <c r="B9" i="1"/>
  <c r="B15" i="1"/>
</calcChain>
</file>

<file path=xl/sharedStrings.xml><?xml version="1.0" encoding="utf-8"?>
<sst xmlns="http://schemas.openxmlformats.org/spreadsheetml/2006/main" count="4055" uniqueCount="1041">
  <si>
    <t>日付</t>
    <rPh sb="0" eb="2">
      <t>ヒヅケ</t>
    </rPh>
    <phoneticPr fontId="1"/>
  </si>
  <si>
    <t>時間</t>
    <rPh sb="0" eb="2">
      <t>ジカン</t>
    </rPh>
    <phoneticPr fontId="1"/>
  </si>
  <si>
    <t>場所</t>
    <rPh sb="0" eb="2">
      <t>バショ</t>
    </rPh>
    <phoneticPr fontId="1"/>
  </si>
  <si>
    <t>数</t>
    <rPh sb="0" eb="1">
      <t>スウ</t>
    </rPh>
    <phoneticPr fontId="1"/>
  </si>
  <si>
    <t>交流会名</t>
    <rPh sb="0" eb="3">
      <t>コウリュウカイ</t>
    </rPh>
    <rPh sb="3" eb="4">
      <t>メイ</t>
    </rPh>
    <phoneticPr fontId="1"/>
  </si>
  <si>
    <t>運営団体</t>
    <rPh sb="0" eb="2">
      <t>ウンエイ</t>
    </rPh>
    <rPh sb="2" eb="4">
      <t>ダンタイ</t>
    </rPh>
    <phoneticPr fontId="1"/>
  </si>
  <si>
    <t>参加費</t>
    <rPh sb="0" eb="3">
      <t>サンカヒ</t>
    </rPh>
    <phoneticPr fontId="1"/>
  </si>
  <si>
    <t>告知媒体</t>
    <rPh sb="0" eb="2">
      <t>コクチ</t>
    </rPh>
    <rPh sb="2" eb="4">
      <t>バイタイ</t>
    </rPh>
    <phoneticPr fontId="1"/>
  </si>
  <si>
    <t>URL</t>
    <phoneticPr fontId="1"/>
  </si>
  <si>
    <t>こくちーず</t>
  </si>
  <si>
    <t>microsyz</t>
  </si>
  <si>
    <t>こくちーず/HP</t>
  </si>
  <si>
    <t>16:00-17:30</t>
  </si>
  <si>
    <t>SES交流会</t>
  </si>
  <si>
    <t>Doomo</t>
  </si>
  <si>
    <t>SES/IT交流会</t>
  </si>
  <si>
    <t>新宿</t>
  </si>
  <si>
    <t>株式会社セラク</t>
  </si>
  <si>
    <t>17:00-19:00</t>
  </si>
  <si>
    <t>池袋</t>
  </si>
  <si>
    <t>IT・SES交流会</t>
  </si>
  <si>
    <t>zetto</t>
    <phoneticPr fontId="1"/>
  </si>
  <si>
    <t>18:50-20:30</t>
  </si>
  <si>
    <t>https://doomo.jp/event/ses</t>
  </si>
  <si>
    <t>大阪</t>
  </si>
  <si>
    <t>IT交流会</t>
  </si>
  <si>
    <t>受託開発ビジネス交流会</t>
  </si>
  <si>
    <t>16:00-17:45</t>
  </si>
  <si>
    <t>五反田</t>
  </si>
  <si>
    <t>秋葉原</t>
  </si>
  <si>
    <t>株式会社ベルナー</t>
  </si>
  <si>
    <t>HP</t>
  </si>
  <si>
    <t>https://ex.wernher.jp/</t>
  </si>
  <si>
    <t>https://microsyz.jp/</t>
  </si>
  <si>
    <t>SES/IT業界向け 情報交換会</t>
  </si>
  <si>
    <t>フューチャー・スクウェア株式会社</t>
  </si>
  <si>
    <t>https://free-ses-exchangemeeting.com/</t>
  </si>
  <si>
    <t>16:00-17:00</t>
  </si>
  <si>
    <t>渋谷</t>
  </si>
  <si>
    <t xml:space="preserve">SES/IT交流会 </t>
    <phoneticPr fontId="1"/>
  </si>
  <si>
    <t>蒲田</t>
  </si>
  <si>
    <t>SES/IT業界向け情報交換会</t>
  </si>
  <si>
    <t xml:space="preserve">株式会社KOKORO </t>
  </si>
  <si>
    <t>https://www.kokuchpro.com/event/b6ba5e8b44af527ccadf84141dc7fde9/</t>
  </si>
  <si>
    <t>14:00-14:45</t>
    <phoneticPr fontId="1"/>
  </si>
  <si>
    <t>15:00-16:30</t>
  </si>
  <si>
    <t>梅田</t>
  </si>
  <si>
    <t>16:00-18:00</t>
  </si>
  <si>
    <t>zetto</t>
  </si>
  <si>
    <t>15:00-16:45</t>
  </si>
  <si>
    <t>北海道</t>
    <rPh sb="0" eb="3">
      <t>ホッカイドウ</t>
    </rPh>
    <phoneticPr fontId="4"/>
  </si>
  <si>
    <t>ITビジネス交流会</t>
    <rPh sb="6" eb="9">
      <t>コウリュウカイ</t>
    </rPh>
    <phoneticPr fontId="4"/>
  </si>
  <si>
    <t>14:00-15:30</t>
  </si>
  <si>
    <t>柏</t>
  </si>
  <si>
    <t>https://www.kokuchpro.com/event/a042135a20fbe9cb897f937af1c4f3e2/</t>
  </si>
  <si>
    <t>福岡</t>
  </si>
  <si>
    <t>https://www.hive-lab.jp/%E4%BA%A4%E6%B5%81%E4%BC%9A%E4%B8%80%E8%A6%A7</t>
  </si>
  <si>
    <t>18:30-20:30</t>
  </si>
  <si>
    <t>IT企業交流会</t>
  </si>
  <si>
    <t>QubeMeetup</t>
  </si>
  <si>
    <t>https://qube-q.com/public/events/search_event</t>
  </si>
  <si>
    <t>銀座</t>
  </si>
  <si>
    <t>セラクパートナシッププログラム</t>
  </si>
  <si>
    <t>https://www.kokuchpro.com/event/1a7069275a054fcd1491a74db2f02354/</t>
  </si>
  <si>
    <t>Re-Vision株式会社</t>
  </si>
  <si>
    <t>https://www.kokuchpro.com/event/revision_250911/</t>
  </si>
  <si>
    <t>16:00-17:30</t>
    <phoneticPr fontId="1"/>
  </si>
  <si>
    <t>本町</t>
  </si>
  <si>
    <t>https://www.kokuchpro.com/event/d61963122f30b7c60695727f4c3dd19c/</t>
  </si>
  <si>
    <t>https://www.kokuchpro.com/event/a583a2adf32a628bb58e11cf27e3415c/</t>
  </si>
  <si>
    <t>大阪</t>
    <phoneticPr fontId="4"/>
  </si>
  <si>
    <t>https://www.kokuchpro.com/event/849c993a7cebb04d9246bea9782c1af8/</t>
  </si>
  <si>
    <t>神田</t>
  </si>
  <si>
    <t>株式会社Chips</t>
  </si>
  <si>
    <t>https://www.kokuchpro.com/event/ee2505f43676bfe6d4ff3266c0aaf59a/</t>
  </si>
  <si>
    <t>新橋</t>
  </si>
  <si>
    <t>ネクスライド株式会社</t>
  </si>
  <si>
    <t>IT・SES名刺交換会</t>
  </si>
  <si>
    <t>18:00-19:00</t>
  </si>
  <si>
    <t>https://www.kokuchpro.com/event/7b87fd6133c8d88c6226cbb20bd3547c/3431009/</t>
  </si>
  <si>
    <t>町田</t>
  </si>
  <si>
    <t>https://www.kokuchpro.com/event/56fee784321d38574174e4ae7a204782/3431022/</t>
  </si>
  <si>
    <t>19:00-20:45</t>
  </si>
  <si>
    <t>株式会社Crown</t>
  </si>
  <si>
    <t>https://www.kokuchpro.com/event/01bbd108b1a8aa8c7dcddf5afbe85bef/</t>
  </si>
  <si>
    <t>川崎</t>
    <rPh sb="0" eb="2">
      <t>カワサキ</t>
    </rPh>
    <phoneticPr fontId="1"/>
  </si>
  <si>
    <t>https://www.kokuchpro.com/event/e68578f408a38e69bc44a592ed69852d/</t>
  </si>
  <si>
    <t>横浜</t>
    <rPh sb="0" eb="2">
      <t>ヨコハマ</t>
    </rPh>
    <phoneticPr fontId="1"/>
  </si>
  <si>
    <t>https://kokc.jp/e/fc3991f9d71f5066713c8b2f81866564/</t>
    <phoneticPr fontId="1"/>
  </si>
  <si>
    <t>名古屋</t>
  </si>
  <si>
    <t>https://www.kokuchpro.com/event/1fb0e1bc44d336fec25e1258e4976c6c/</t>
  </si>
  <si>
    <t>10:30-12:00</t>
  </si>
  <si>
    <t>大崎</t>
  </si>
  <si>
    <t>IT業界交流会</t>
  </si>
  <si>
    <t>株式会社DYMキャリア </t>
  </si>
  <si>
    <t>https://www.kokuchpro.com/event/110724c0fe5ccba8e90043b4642b6dd7/</t>
  </si>
  <si>
    <t>日本橋</t>
  </si>
  <si>
    <t>SES情報交換会</t>
  </si>
  <si>
    <t>ITマッチング協会事務局 </t>
  </si>
  <si>
    <t>https://www.kokuchpro.com/event/272bf526e4989796276649f231b0e7dd/</t>
  </si>
  <si>
    <t>16:00-18:00</t>
    <phoneticPr fontId="1"/>
  </si>
  <si>
    <t>14:00-15:00</t>
  </si>
  <si>
    <t>https://www.kokuchpro.com/event/7e1154a69099ff7ddb1fe04359e0f302/</t>
  </si>
  <si>
    <t>19:00-20:30</t>
  </si>
  <si>
    <t>中野</t>
  </si>
  <si>
    <t>発注ナビ株式会社</t>
  </si>
  <si>
    <t>https://www.kokuchpro.com/event/f7eb549a065fbc679ef42d109d985cf0/</t>
  </si>
  <si>
    <t>19:00-20:15</t>
  </si>
  <si>
    <t>若手SES交流会</t>
  </si>
  <si>
    <t>株式会社ファミここ</t>
  </si>
  <si>
    <t>https://www.kokuchpro.com/event/c49071ae0e11a9172f91be01fe3e6346/</t>
  </si>
  <si>
    <t>17:00-18:45</t>
  </si>
  <si>
    <t>17:30-19:00</t>
  </si>
  <si>
    <t>茅場町</t>
  </si>
  <si>
    <t>https://www.kokuchpro.com/event/e6af341fc73ef8a9fff759ad784a12b2/</t>
  </si>
  <si>
    <t>https://www.kokuchpro.com/event/25dcace74190c730af9c6803399a25ba/</t>
  </si>
  <si>
    <t>株式会社システムリンク</t>
  </si>
  <si>
    <t>https://www.kokuchpro.com/event/038ec91d3fb32450768abbcbe01d9227/3444096/</t>
  </si>
  <si>
    <t>16:30-18:00</t>
  </si>
  <si>
    <t>SES企業交流会</t>
  </si>
  <si>
    <t>株式会社アイデンティティー</t>
  </si>
  <si>
    <t>https://www.kokuchpro.com/event/5e12d6d1bdd69848180ebdd2f022dd2f/</t>
  </si>
  <si>
    <t>横浜</t>
  </si>
  <si>
    <t>https://www.kokuchpro.com/event/846bc09f220714f6b0c312382a1ea0f2/</t>
  </si>
  <si>
    <t>19:00-20:30</t>
    <phoneticPr fontId="1"/>
  </si>
  <si>
    <t>https://www.kokuchpro.com/event/70c65c330bc72af6e9cfbdb7770680de/</t>
  </si>
  <si>
    <t>SES/IT交流会</t>
    <phoneticPr fontId="1"/>
  </si>
  <si>
    <t>SES ビジネス交流</t>
  </si>
  <si>
    <t>https://www.kokuchpro.com/event/03a4bbd6f5da58dfddcd1595031a663f/</t>
  </si>
  <si>
    <t>https://www.kokuchpro.com/event/69a038b403beccdcc186f0d3671392c5/</t>
  </si>
  <si>
    <t>https://www.kokuchpro.com/event/ses_osaka/3439216/</t>
  </si>
  <si>
    <t>17:00-18:00</t>
  </si>
  <si>
    <t>札幌</t>
  </si>
  <si>
    <t>15:30-17:00</t>
  </si>
  <si>
    <t>代々木</t>
  </si>
  <si>
    <t xml:space="preserve">株式会社セラク </t>
  </si>
  <si>
    <t>https://www.kokuchpro.com/event/11feab2906bbd919e00b5ba82754b327/</t>
  </si>
  <si>
    <t>19:00-20:00</t>
  </si>
  <si>
    <t>18:30-21:00</t>
    <phoneticPr fontId="1"/>
  </si>
  <si>
    <t>東京</t>
    <rPh sb="0" eb="2">
      <t>トウキョウ</t>
    </rPh>
    <phoneticPr fontId="1"/>
  </si>
  <si>
    <t>IT飲み会</t>
    <rPh sb="2" eb="3">
      <t>ノ</t>
    </rPh>
    <rPh sb="4" eb="5">
      <t>カイ</t>
    </rPh>
    <phoneticPr fontId="1"/>
  </si>
  <si>
    <t>https://itnomikai.com/</t>
  </si>
  <si>
    <t>https://itnomikai.com/</t>
    <phoneticPr fontId="1"/>
  </si>
  <si>
    <t>12:30-15:30</t>
    <phoneticPr fontId="1"/>
  </si>
  <si>
    <t>仙台</t>
    <rPh sb="0" eb="2">
      <t>センダイ</t>
    </rPh>
    <phoneticPr fontId="1"/>
  </si>
  <si>
    <t>16:00ｰ17:30</t>
  </si>
  <si>
    <t>菊川SES営業交流会</t>
  </si>
  <si>
    <t>株式会社ステラ</t>
  </si>
  <si>
    <t>菊川</t>
    <rPh sb="0" eb="2">
      <t>キクカワ</t>
    </rPh>
    <phoneticPr fontId="1"/>
  </si>
  <si>
    <t>https://www.kokuchpro.com/event/c3856912042c531fbe3718fa848cc86f/3462678/</t>
    <phoneticPr fontId="1"/>
  </si>
  <si>
    <t>https://www.kokuchpro.com/event/c3856912042c531fbe3718fa848cc86f/3462679/</t>
    <phoneticPr fontId="1"/>
  </si>
  <si>
    <t>渋谷</t>
    <rPh sb="0" eb="2">
      <t>シブヤ</t>
    </rPh>
    <phoneticPr fontId="1"/>
  </si>
  <si>
    <t>SES交流会</t>
    <rPh sb="3" eb="6">
      <t>コウリュウカイ</t>
    </rPh>
    <phoneticPr fontId="1"/>
  </si>
  <si>
    <t>https://www.kokuchpro.com/event/423834ffa82af34848b1240d63beda9d/</t>
    <phoneticPr fontId="1"/>
  </si>
  <si>
    <t>14:00-16:00</t>
  </si>
  <si>
    <t>池袋</t>
    <rPh sb="0" eb="2">
      <t>イケブクロ</t>
    </rPh>
    <phoneticPr fontId="1"/>
  </si>
  <si>
    <t>Hive Lab</t>
  </si>
  <si>
    <t>https://www.kokuchpro.com/event/0c93dc4e30d6c41073f77cfe0fb7e5f9/3422362/</t>
    <phoneticPr fontId="1"/>
  </si>
  <si>
    <t>https://www.kokuchpro.com/event/0c93dc4e30d6c41073f77cfe0fb7e5f9/3427475/</t>
    <phoneticPr fontId="1"/>
  </si>
  <si>
    <t>大規模SES営業交流会</t>
  </si>
  <si>
    <t>18:00-20:00</t>
    <phoneticPr fontId="1"/>
  </si>
  <si>
    <t>Playlist株式会社</t>
    <phoneticPr fontId="1"/>
  </si>
  <si>
    <t>田町</t>
  </si>
  <si>
    <t>https://www.kokuchpro.com/event/0d016a35565421be5d27a25379e9ff60/</t>
  </si>
  <si>
    <t>14:00-15:00</t>
    <phoneticPr fontId="1"/>
  </si>
  <si>
    <t>ネクスライド株式会社</t>
    <phoneticPr fontId="1"/>
  </si>
  <si>
    <t>IT・SES名刺交換会</t>
    <phoneticPr fontId="1"/>
  </si>
  <si>
    <t>新橋</t>
    <phoneticPr fontId="1"/>
  </si>
  <si>
    <t>こくちーず</t>
    <phoneticPr fontId="1"/>
  </si>
  <si>
    <t>https://www.kokuchpro.com/event/cdcf2ca2328aa1b859fb762d915748b7/</t>
    <phoneticPr fontId="1"/>
  </si>
  <si>
    <t>溜池山王</t>
  </si>
  <si>
    <t>アサインナビIT交流会</t>
  </si>
  <si>
    <t>株式会社エル・ティー・エス リンク</t>
  </si>
  <si>
    <t>https://assign-navi.jp/events</t>
  </si>
  <si>
    <t>16:00ｰ18:00</t>
    <phoneticPr fontId="1"/>
  </si>
  <si>
    <t>浅草橋</t>
  </si>
  <si>
    <t>SES営業麻雀大会</t>
  </si>
  <si>
    <t xml:space="preserve">麻雀ここりーち </t>
  </si>
  <si>
    <t>15:00-17:00</t>
    <phoneticPr fontId="1"/>
  </si>
  <si>
    <t>https://www.kokuchpro.com/event/7f884af352600ba6a237b279d690fc27/3465110/</t>
    <phoneticPr fontId="1"/>
  </si>
  <si>
    <t>https://www.kokuchpro.com/event/fe845736b61074874f6c5c1f59352e91/</t>
    <phoneticPr fontId="1"/>
  </si>
  <si>
    <t>【女性限定】IT・SES交流会</t>
    <phoneticPr fontId="1"/>
  </si>
  <si>
    <t>15:00-16:00</t>
    <phoneticPr fontId="1"/>
  </si>
  <si>
    <t>【女性限定 Tea time】 IT・SES交流会</t>
    <phoneticPr fontId="1"/>
  </si>
  <si>
    <t>https://www.kokuchpro.com/event/877e15fa86875852d9ce562a53e02efb/</t>
    <phoneticPr fontId="1"/>
  </si>
  <si>
    <t>18:30-21:30</t>
    <phoneticPr fontId="1"/>
  </si>
  <si>
    <t>大阪</t>
    <phoneticPr fontId="1"/>
  </si>
  <si>
    <t>名古屋</t>
    <phoneticPr fontId="1"/>
  </si>
  <si>
    <t>福岡</t>
    <phoneticPr fontId="1"/>
  </si>
  <si>
    <t>15:50-16:45</t>
    <phoneticPr fontId="1"/>
  </si>
  <si>
    <t>本町</t>
    <phoneticPr fontId="1"/>
  </si>
  <si>
    <t>https://www.cloud-hub.org/guest_event</t>
  </si>
  <si>
    <t>https://www.cloud-hub.org/guest_event</t>
    <phoneticPr fontId="1"/>
  </si>
  <si>
    <t>HP</t>
    <phoneticPr fontId="1"/>
  </si>
  <si>
    <t>関西支部　営業商談会</t>
    <phoneticPr fontId="1"/>
  </si>
  <si>
    <t>JIET</t>
  </si>
  <si>
    <t>JIET</t>
    <phoneticPr fontId="1"/>
  </si>
  <si>
    <t>16:40ｰ17:20</t>
    <phoneticPr fontId="1"/>
  </si>
  <si>
    <t>九州支部　営業商談会</t>
    <rPh sb="0" eb="2">
      <t>キュウシュウ</t>
    </rPh>
    <phoneticPr fontId="1"/>
  </si>
  <si>
    <t>14:30-17:00</t>
    <phoneticPr fontId="1"/>
  </si>
  <si>
    <t>東海支部　営業商談会</t>
    <rPh sb="0" eb="2">
      <t>トウカイ</t>
    </rPh>
    <rPh sb="2" eb="4">
      <t>シブ</t>
    </rPh>
    <phoneticPr fontId="1"/>
  </si>
  <si>
    <t>15:00-16:30</t>
    <phoneticPr fontId="1"/>
  </si>
  <si>
    <t>町田</t>
    <phoneticPr fontId="1"/>
  </si>
  <si>
    <t>JIET首都圏支部合同商談会</t>
    <rPh sb="4" eb="7">
      <t>シュトケン</t>
    </rPh>
    <rPh sb="7" eb="9">
      <t>シブ</t>
    </rPh>
    <rPh sb="9" eb="11">
      <t>ゴウドウ</t>
    </rPh>
    <rPh sb="11" eb="14">
      <t>ショウダンカイ</t>
    </rPh>
    <phoneticPr fontId="1"/>
  </si>
  <si>
    <t>15:00-17:20</t>
    <phoneticPr fontId="1"/>
  </si>
  <si>
    <t>山形</t>
    <rPh sb="0" eb="2">
      <t>ヤマガタ</t>
    </rPh>
    <phoneticPr fontId="1"/>
  </si>
  <si>
    <t>東北支部営業商談会</t>
    <phoneticPr fontId="1"/>
  </si>
  <si>
    <t>16:30-17:30</t>
    <phoneticPr fontId="1"/>
  </si>
  <si>
    <t>北海道支部 情報交換会</t>
    <rPh sb="0" eb="3">
      <t>ホッカイドウ</t>
    </rPh>
    <rPh sb="3" eb="5">
      <t>シブ</t>
    </rPh>
    <phoneticPr fontId="1"/>
  </si>
  <si>
    <t>札幌</t>
    <phoneticPr fontId="1"/>
  </si>
  <si>
    <t>17:40-18:20</t>
    <phoneticPr fontId="1"/>
  </si>
  <si>
    <t>沖縄</t>
    <rPh sb="0" eb="2">
      <t>オキナワ</t>
    </rPh>
    <phoneticPr fontId="1"/>
  </si>
  <si>
    <t>沖縄支部 営業商談会</t>
    <rPh sb="0" eb="2">
      <t>オキナワ</t>
    </rPh>
    <rPh sb="2" eb="4">
      <t>シブ</t>
    </rPh>
    <rPh sb="5" eb="7">
      <t>エイギョウ</t>
    </rPh>
    <rPh sb="7" eb="10">
      <t>ショウダンカイ</t>
    </rPh>
    <phoneticPr fontId="1"/>
  </si>
  <si>
    <t>15:30-17:00</t>
    <phoneticPr fontId="1"/>
  </si>
  <si>
    <t>関西支部 情報交換会</t>
    <rPh sb="0" eb="2">
      <t>カンサイ</t>
    </rPh>
    <rPh sb="2" eb="4">
      <t>シブ</t>
    </rPh>
    <phoneticPr fontId="1"/>
  </si>
  <si>
    <t>16:00-17:00</t>
    <phoneticPr fontId="1"/>
  </si>
  <si>
    <t>千葉</t>
    <rPh sb="0" eb="2">
      <t>チバ</t>
    </rPh>
    <phoneticPr fontId="1"/>
  </si>
  <si>
    <t>千葉支部 営業商談会</t>
    <rPh sb="0" eb="2">
      <t>チバ</t>
    </rPh>
    <rPh sb="2" eb="4">
      <t>シブ</t>
    </rPh>
    <rPh sb="5" eb="7">
      <t>エイギョウ</t>
    </rPh>
    <rPh sb="7" eb="10">
      <t>ショウダンカイ</t>
    </rPh>
    <phoneticPr fontId="1"/>
  </si>
  <si>
    <t>15:00-17:30</t>
    <phoneticPr fontId="1"/>
  </si>
  <si>
    <t>関西支部 営業商談会</t>
    <rPh sb="0" eb="2">
      <t>カンサイ</t>
    </rPh>
    <rPh sb="2" eb="4">
      <t>シブ</t>
    </rPh>
    <rPh sb="5" eb="7">
      <t>エイギョウ</t>
    </rPh>
    <rPh sb="7" eb="10">
      <t>ショウダンカイ</t>
    </rPh>
    <phoneticPr fontId="1"/>
  </si>
  <si>
    <t>17:00-18:00</t>
    <phoneticPr fontId="1"/>
  </si>
  <si>
    <t>神奈川支部 営業商談会</t>
    <rPh sb="0" eb="3">
      <t>カナガワ</t>
    </rPh>
    <rPh sb="3" eb="5">
      <t>シブ</t>
    </rPh>
    <rPh sb="6" eb="8">
      <t>エイギョウ</t>
    </rPh>
    <rPh sb="8" eb="11">
      <t>ショウダンカイ</t>
    </rPh>
    <phoneticPr fontId="1"/>
  </si>
  <si>
    <t>14:00-15:30</t>
    <phoneticPr fontId="1"/>
  </si>
  <si>
    <t>https://www.kokuchpro.com/event/1c0a1e1c571a85ff05890182eedfa9c6/</t>
    <phoneticPr fontId="1"/>
  </si>
  <si>
    <t>情報交換会</t>
  </si>
  <si>
    <t>16:00ｰ18:00</t>
  </si>
  <si>
    <t>アサインナビ BizTalk ～Salesforce編～</t>
  </si>
  <si>
    <t>https://www.kokuchpro.com/event/eafd25af0c87ca0aaab90cd82ac46805/</t>
  </si>
  <si>
    <t>19:30-21:00</t>
    <phoneticPr fontId="1"/>
  </si>
  <si>
    <t>デジタル人材AI語り合い交流会</t>
  </si>
  <si>
    <t>株式会社まいまい</t>
  </si>
  <si>
    <t>https://www.kokuchpro.com/event/maimaidejirabo_1/</t>
    <phoneticPr fontId="1"/>
  </si>
  <si>
    <t>18:00-19:30</t>
    <phoneticPr fontId="1"/>
  </si>
  <si>
    <t>SAJ×JIET ビジネスマッチング交流会</t>
  </si>
  <si>
    <t>福井</t>
    <rPh sb="0" eb="2">
      <t>フクイ</t>
    </rPh>
    <phoneticPr fontId="1"/>
  </si>
  <si>
    <t>営業商談会</t>
  </si>
  <si>
    <t>17:45-19:15</t>
    <phoneticPr fontId="1"/>
  </si>
  <si>
    <t>新宿</t>
    <phoneticPr fontId="1"/>
  </si>
  <si>
    <t>株式会社LEGAREA  </t>
  </si>
  <si>
    <t>https://www.kokuchpro.com/event/a79f5aca7d7f575bba2c9c9887e923c0/</t>
  </si>
  <si>
    <t>大宮</t>
    <rPh sb="0" eb="2">
      <t>オオミヤ</t>
    </rPh>
    <phoneticPr fontId="1"/>
  </si>
  <si>
    <t>蒲田</t>
    <rPh sb="0" eb="2">
      <t>カマタ</t>
    </rPh>
    <phoneticPr fontId="1"/>
  </si>
  <si>
    <t>KIA×JIET 営業担当者交流会</t>
  </si>
  <si>
    <t>商談会＆名刺交換会</t>
  </si>
  <si>
    <t>15:30‐17:00</t>
    <phoneticPr fontId="1"/>
  </si>
  <si>
    <t>15:30‐17:00</t>
  </si>
  <si>
    <t>16:45-19:00</t>
    <phoneticPr fontId="1"/>
  </si>
  <si>
    <t>IT/SES交流会</t>
  </si>
  <si>
    <t>株式会社BTM</t>
    <phoneticPr fontId="1"/>
  </si>
  <si>
    <t>https://www.kokuchpro.com/event/c53980206dc0480b87a729108f8fab91/</t>
    <phoneticPr fontId="1"/>
  </si>
  <si>
    <t>19:00-21:00</t>
  </si>
  <si>
    <t>東陽町</t>
    <rPh sb="0" eb="3">
      <t>トウヨウチョウ</t>
    </rPh>
    <phoneticPr fontId="1"/>
  </si>
  <si>
    <t>SESバスケ交流会</t>
  </si>
  <si>
    <t>株式会社アクロスペイラ</t>
  </si>
  <si>
    <t>https://www.kokuchpro.com/event/0ba79fa6efc9efcc4b1a08bfce42f174/</t>
    <phoneticPr fontId="1"/>
  </si>
  <si>
    <t>19:00-21:00</t>
    <phoneticPr fontId="1"/>
  </si>
  <si>
    <t>SES×BUSINESS×フットサル交流会</t>
    <phoneticPr fontId="1"/>
  </si>
  <si>
    <t>https://www.kokuchpro.com/event/bc855bb43cc34e9b0fe185c187a4ad4c/3474020/</t>
    <phoneticPr fontId="1"/>
  </si>
  <si>
    <t>https://www.kokuchpro.com/event/c3856912042c531fbe3718fa848cc86f/3486169/</t>
    <phoneticPr fontId="1"/>
  </si>
  <si>
    <t>15:00-16:45</t>
    <phoneticPr fontId="1"/>
  </si>
  <si>
    <t>株式会社KOKORO</t>
  </si>
  <si>
    <t>https://www.kokuchpro.com/event/b43da085a27164a48874039da7323bb2/</t>
  </si>
  <si>
    <t>https://www.kokuchpro.com/event/ses_osaka/3466800/</t>
    <phoneticPr fontId="1"/>
  </si>
  <si>
    <t>神田</t>
    <rPh sb="0" eb="2">
      <t>カンダ</t>
    </rPh>
    <phoneticPr fontId="1"/>
  </si>
  <si>
    <t>18:30-19:30</t>
    <phoneticPr fontId="1"/>
  </si>
  <si>
    <t>https://www.kokuchpro.com/event/fef9a69ae1869f8bb45af5dfb3fed8d4/</t>
    <phoneticPr fontId="1"/>
  </si>
  <si>
    <t>株式会社FunMeets</t>
  </si>
  <si>
    <t>SES・IT交流会</t>
  </si>
  <si>
    <t>武蔵小杉</t>
  </si>
  <si>
    <t>https://www.kokuchpro.com/event/c8dc0f39e45a39ddca0ee7ee5cc3669c/</t>
    <phoneticPr fontId="1"/>
  </si>
  <si>
    <t>株式会社ラージック</t>
  </si>
  <si>
    <t>虎ノ門</t>
    <rPh sb="0" eb="1">
      <t>トラ</t>
    </rPh>
    <rPh sb="2" eb="3">
      <t>モン</t>
    </rPh>
    <phoneticPr fontId="1"/>
  </si>
  <si>
    <t>https://kokc.jp/e/54d931bd568375093802f00cc094c051/</t>
    <phoneticPr fontId="1"/>
  </si>
  <si>
    <t>18:00-20:30</t>
    <phoneticPr fontId="1"/>
  </si>
  <si>
    <t>https://kokc.jp/e/0cfaf37caa252e05f87fd0ccd1c8932a/</t>
    <phoneticPr fontId="1"/>
  </si>
  <si>
    <t>https://www.kokuchpro.com/event/01bbd108b1a8aa8c7dcddf5afbe85bef/3493676/</t>
    <phoneticPr fontId="1"/>
  </si>
  <si>
    <t>https://www.kokuchpro.com/event/5ec7d622085105edb070cfc993f5113e/</t>
    <phoneticPr fontId="1"/>
  </si>
  <si>
    <t>ビート・イット</t>
    <phoneticPr fontId="1"/>
  </si>
  <si>
    <t>SESビジネス交流会</t>
    <phoneticPr fontId="1"/>
  </si>
  <si>
    <t>秋葉原</t>
    <phoneticPr fontId="1"/>
  </si>
  <si>
    <t>18:00-19:00</t>
    <phoneticPr fontId="1"/>
  </si>
  <si>
    <t>https://kokc.jp/e/07718de16bd0e77bd755eb6fc9f2395b/</t>
    <phoneticPr fontId="1"/>
  </si>
  <si>
    <t>https://www.kokuchpro.com/event/5161d2c715fccf1a60ca8acdfcae57cf/</t>
    <phoneticPr fontId="1"/>
  </si>
  <si>
    <t xml:space="preserve">株式会社なごみプロモーション </t>
    <phoneticPr fontId="1"/>
  </si>
  <si>
    <t>SES交流会</t>
    <phoneticPr fontId="1"/>
  </si>
  <si>
    <t>両国</t>
    <rPh sb="0" eb="2">
      <t>リョウコク</t>
    </rPh>
    <phoneticPr fontId="1"/>
  </si>
  <si>
    <t>17:30-20:00</t>
    <phoneticPr fontId="1"/>
  </si>
  <si>
    <t>https://www.kokuchpro.com/event/revision_251113/</t>
  </si>
  <si>
    <t>https://www.kokuchpro.com/event/e171fb389182e622da2074cf75b54635/3510684/</t>
  </si>
  <si>
    <t>https://www.kokuchpro.com/event/17002265ea42685dc72c94ccb8856e64/</t>
    <phoneticPr fontId="1"/>
  </si>
  <si>
    <t>受託開発・SESビジネス交流会</t>
  </si>
  <si>
    <t>大崎</t>
    <rPh sb="0" eb="2">
      <t>オオサキ</t>
    </rPh>
    <phoneticPr fontId="1"/>
  </si>
  <si>
    <t>https://kokc.jp/e/7f0739b2f0713204170a2a3abd1276b5/</t>
    <phoneticPr fontId="1"/>
  </si>
  <si>
    <t>横浜</t>
    <rPh sb="0" eb="2">
      <t>ヨコハマ</t>
    </rPh>
    <phoneticPr fontId="4"/>
  </si>
  <si>
    <t>https://kokc.jp/e/b05d6cb5f6502e2515688d0657c91054/</t>
    <phoneticPr fontId="1"/>
  </si>
  <si>
    <t>町田</t>
    <rPh sb="0" eb="2">
      <t>マチダ</t>
    </rPh>
    <phoneticPr fontId="4"/>
  </si>
  <si>
    <t>https://www.kokuchpro.com/event/addc2d61c6ee712f3c451ff8395697bb/</t>
    <phoneticPr fontId="1"/>
  </si>
  <si>
    <t>株式会社アイフォース </t>
  </si>
  <si>
    <t>設立10年以上のSES交流会</t>
    <rPh sb="11" eb="14">
      <t>コウリュウカイ</t>
    </rPh>
    <phoneticPr fontId="1"/>
  </si>
  <si>
    <t>田町</t>
    <rPh sb="0" eb="2">
      <t>タマチ</t>
    </rPh>
    <phoneticPr fontId="1"/>
  </si>
  <si>
    <t>https://www.kokuchpro.com/event/7e887e2b4631f729e1b65fd94cef677e/</t>
  </si>
  <si>
    <t>https://www.kokuchpro.com/event/8a1d5e11017d38fb89f8ce4599c813f2/</t>
  </si>
  <si>
    <t xml:space="preserve">【Z:ll】SES/IT交流会 </t>
  </si>
  <si>
    <t>17:00-18:45</t>
    <phoneticPr fontId="1"/>
  </si>
  <si>
    <t>https://www.kokuchpro.com/event/c8cd22a88d93eac725b92dca75ffa430/</t>
  </si>
  <si>
    <t>船橋</t>
  </si>
  <si>
    <t>有楽町</t>
    <rPh sb="0" eb="3">
      <t>ユウラクチョウ</t>
    </rPh>
    <phoneticPr fontId="1"/>
  </si>
  <si>
    <t>https://www.kokuchpro.com/event/feeb54478f85f41ebec45142c49af3e7/</t>
  </si>
  <si>
    <t>株式会社アルトワイズ</t>
  </si>
  <si>
    <t>SES交流</t>
  </si>
  <si>
    <t>麻布台</t>
  </si>
  <si>
    <t>https://www.kokuchpro.com/event/fc3991f9d71f5066713c8b2f81866564/3491989/</t>
    <phoneticPr fontId="1"/>
  </si>
  <si>
    <t>https://www.kokuchpro.com/event/fff8a436582c036f0425ad7d20c00bb3/</t>
    <phoneticPr fontId="1"/>
  </si>
  <si>
    <t>SES営業向けの交流会</t>
  </si>
  <si>
    <t>大手町</t>
    <rPh sb="0" eb="3">
      <t>オオテマチ</t>
    </rPh>
    <phoneticPr fontId="1"/>
  </si>
  <si>
    <t>https://www.kokuchpro.com/event/b4d927214560aa011ee20edcbdd2653b/</t>
    <phoneticPr fontId="1"/>
  </si>
  <si>
    <t>株式会社アイデンティティー</t>
    <phoneticPr fontId="1"/>
  </si>
  <si>
    <t>SES企業様向け パートナー交流会</t>
    <phoneticPr fontId="1"/>
  </si>
  <si>
    <t>16:30-18:00</t>
    <phoneticPr fontId="1"/>
  </si>
  <si>
    <t>博多</t>
    <rPh sb="0" eb="2">
      <t>ハカタ</t>
    </rPh>
    <phoneticPr fontId="1"/>
  </si>
  <si>
    <t>https://www.kokuchpro.com/event/1db9bb931e03ff6cc23e113ae0b85044/</t>
  </si>
  <si>
    <t>16:00-17:15</t>
    <phoneticPr fontId="1"/>
  </si>
  <si>
    <t>https://www.kokuchpro.com/event/038ec91d3fb32450768abbcbe01d9227/3485553/</t>
    <phoneticPr fontId="1"/>
  </si>
  <si>
    <t>SES/IT交流会</t>
    <phoneticPr fontId="4"/>
  </si>
  <si>
    <t>日本橋</t>
    <rPh sb="0" eb="3">
      <t>ニホンバシ</t>
    </rPh>
    <phoneticPr fontId="1"/>
  </si>
  <si>
    <t>16:00ｰ17:45</t>
    <phoneticPr fontId="1"/>
  </si>
  <si>
    <t>https://www.kokuchpro.com/event/1bf71a6d607897e444e3b661d629c95c/</t>
  </si>
  <si>
    <t>12:00〜14:00</t>
  </si>
  <si>
    <t>ランチビュッフェ付♪コラボSES交流会</t>
    <phoneticPr fontId="1"/>
  </si>
  <si>
    <t>株式会社Hajimari</t>
  </si>
  <si>
    <t>https://www.kokuchpro.com/event/92c705f14f779c3b406789d011fdab02/</t>
    <phoneticPr fontId="1"/>
  </si>
  <si>
    <t>15:00〜16:30</t>
  </si>
  <si>
    <t>錦糸町</t>
    <rPh sb="0" eb="3">
      <t>キンシチョウ</t>
    </rPh>
    <phoneticPr fontId="1"/>
  </si>
  <si>
    <t>株式会社フォー・クオリア</t>
    <phoneticPr fontId="1"/>
  </si>
  <si>
    <t>https://www.kokuchpro.com/event/aa580d2153a65ad30938240afb8b7611/</t>
    <phoneticPr fontId="1"/>
  </si>
  <si>
    <t>広島</t>
    <rPh sb="0" eb="2">
      <t>ヒロシマ</t>
    </rPh>
    <phoneticPr fontId="1"/>
  </si>
  <si>
    <t>16:00〜17:30</t>
  </si>
  <si>
    <t>https://www.kokuchpro.com/event/c3856912042c531fbe3718fa848cc86f/3566523/</t>
    <phoneticPr fontId="1"/>
  </si>
  <si>
    <t>19:00〜20:00</t>
    <phoneticPr fontId="1"/>
  </si>
  <si>
    <t>レバテック株式会社</t>
    <phoneticPr fontId="1"/>
  </si>
  <si>
    <t>https://www.kokuchpro.com/event/56be063186f1242d7ed284322502e11b/</t>
    <phoneticPr fontId="1"/>
  </si>
  <si>
    <t>16:30〜18:00</t>
  </si>
  <si>
    <t>株式会社ルートゼロ</t>
  </si>
  <si>
    <t>https://www.kokuchpro.com/event/bfe3d5f375b240b4d7b5f2585a786d0e/</t>
    <phoneticPr fontId="1"/>
  </si>
  <si>
    <t>17:00〜19:30</t>
    <phoneticPr fontId="1"/>
  </si>
  <si>
    <t>UP MILLS交流会</t>
  </si>
  <si>
    <t>株式会社UP MILLS</t>
    <phoneticPr fontId="1"/>
  </si>
  <si>
    <t>https://www.kokuchpro.com/event/feabc178b4486f5e9dfc7551dda89916/</t>
  </si>
  <si>
    <t> 17:30〜20:00</t>
  </si>
  <si>
    <t>https://www.kokuchpro.com/event/dc20576100fbf741201d75e0fed2a2e3/</t>
  </si>
  <si>
    <t>https://www.kokuchpro.com/event/d990cf79657ee4320ae0ad37360254ea/</t>
  </si>
  <si>
    <t>14:00〜15:30</t>
  </si>
  <si>
    <t>https://www.kokuchpro.com/event/48244982781a392a366cbb2ec3db0c8d/</t>
    <phoneticPr fontId="1"/>
  </si>
  <si>
    <t>16:00〜17:00</t>
  </si>
  <si>
    <t>新橋</t>
    <rPh sb="0" eb="2">
      <t>シンバシ</t>
    </rPh>
    <phoneticPr fontId="1"/>
  </si>
  <si>
    <t>https://www.kokuchpro.com/event/c56586a1d676bcc462c1c39a0c2b1613/</t>
    <phoneticPr fontId="1"/>
  </si>
  <si>
    <t>18:00-19:30</t>
  </si>
  <si>
    <t>https://www.kokuchpro.com/event/cd449533fd2472d788e53b68b14e099f/</t>
    <phoneticPr fontId="1"/>
  </si>
  <si>
    <t>16:00ｰ17:30</t>
    <phoneticPr fontId="1"/>
  </si>
  <si>
    <t>https://www.kokuchpro.com/event/038ec91d3fb32450768abbcbe01d9227/3576193/</t>
    <phoneticPr fontId="1"/>
  </si>
  <si>
    <t>西荻窪</t>
    <rPh sb="0" eb="1">
      <t>ニシ</t>
    </rPh>
    <rPh sb="1" eb="3">
      <t>オギクボ</t>
    </rPh>
    <phoneticPr fontId="1"/>
  </si>
  <si>
    <t>SES営業向け 名刺交換会</t>
  </si>
  <si>
    <t>https://www.kokuchpro.com/event/878a39aa31f73d757955c5e6b2ef8033/</t>
  </si>
  <si>
    <t>18:00-19:45</t>
    <phoneticPr fontId="1"/>
  </si>
  <si>
    <t>忘年会兼 SES/IT交流会</t>
    <phoneticPr fontId="1"/>
  </si>
  <si>
    <t>https://kokc.jp/e/17b6ff8fce5ecc8d457220220dcd02c0/</t>
    <phoneticPr fontId="1"/>
  </si>
  <si>
    <t>17:00〜18:45</t>
  </si>
  <si>
    <t>https://www.kokuchpro.com/event/9b7f9f249e4f7f02d29c1ccc032a8173/</t>
    <phoneticPr fontId="1"/>
  </si>
  <si>
    <t xml:space="preserve">SES交流会 </t>
    <phoneticPr fontId="1"/>
  </si>
  <si>
    <t>https://kokc.jp/e/6a11c283a302ffe66ff5093dbc2326f0/</t>
    <phoneticPr fontId="1"/>
  </si>
  <si>
    <t>3社共催 SES/IT交流会 </t>
  </si>
  <si>
    <t>https://kokc.jp/e/a7a5a4451c1850844b495b0bb27a7675/</t>
  </si>
  <si>
    <t>18:00〜21:00</t>
    <phoneticPr fontId="1"/>
  </si>
  <si>
    <t>異業種交流会</t>
    <phoneticPr fontId="1"/>
  </si>
  <si>
    <t>五反田</t>
    <phoneticPr fontId="1"/>
  </si>
  <si>
    <t>Next IT Consulting株式会社</t>
    <phoneticPr fontId="1"/>
  </si>
  <si>
    <t>https://forms.gle/axr2ffvRA3jxtQiLA</t>
    <phoneticPr fontId="1"/>
  </si>
  <si>
    <t>システム開発に関わる企業の交流イベント</t>
  </si>
  <si>
    <t>https://www.kokuchpro.com/event/ses/3586907/</t>
  </si>
  <si>
    <t>19:00〜20:00</t>
  </si>
  <si>
    <t>レバテック株式会社</t>
  </si>
  <si>
    <t>https://www.kokuchpro.com/event/b39e600ae18033a289fe9b7d2e02eca0/</t>
  </si>
  <si>
    <t>17:30〜19:30</t>
  </si>
  <si>
    <t>株式会社なごみプロモーション</t>
  </si>
  <si>
    <t>https://www.kokuchpro.com/event/f52698b9fd4884d4c3424f1dcf7318df/</t>
  </si>
  <si>
    <t>19:30-21:00</t>
  </si>
  <si>
    <t>晴海</t>
    <rPh sb="0" eb="2">
      <t>ハルミ</t>
    </rPh>
    <phoneticPr fontId="1"/>
  </si>
  <si>
    <t>共催 SES×フットサル交流会</t>
  </si>
  <si>
    <t>https://www.kokuchpro.com/event/ses_futsal/</t>
  </si>
  <si>
    <t>https://www.kokuchpro.com/event/c4799961640ae9ba0eaff6119f4e31e6/3600134/</t>
  </si>
  <si>
    <t>https://www.kokuchpro.com/event/ses_osaka/3555264/</t>
  </si>
  <si>
    <t>16:00〜18:00</t>
  </si>
  <si>
    <t>https://www.kokuchpro.com/event/e3f50e99909aa0451fdd731792939abd/</t>
  </si>
  <si>
    <t>18:15〜20:00</t>
  </si>
  <si>
    <t>受託開発・SES交流会</t>
  </si>
  <si>
    <t>https://www.kokuchpro.com/event/923fda8caa2c013839fcc13237053ea9/</t>
  </si>
  <si>
    <t>19:00〜21:00</t>
  </si>
  <si>
    <t>新年会兼交流会</t>
  </si>
  <si>
    <t>株式会社ビズリンク</t>
  </si>
  <si>
    <t>https://www.kokuchpro.com/event/102e78061398afc0cee736cdd3f6c6a0/</t>
  </si>
  <si>
    <t>SESインフラ限定交流会</t>
  </si>
  <si>
    <t>https://kokc.jp/e/4233f7ae3f5ee8162492ae04159c96f0/</t>
  </si>
  <si>
    <t>SES営業交流会</t>
  </si>
  <si>
    <t>https://www.kokuchpro.com/event/c3856912042c531fbe3718fa848cc86f/3645926/</t>
  </si>
  <si>
    <t>SES/IT企業向け交流会</t>
  </si>
  <si>
    <t>https://www.kokuchpro.com/event/038ec91d3fb32450768abbcbe01d9227/3618054/</t>
  </si>
  <si>
    <t>赤坂</t>
    <rPh sb="0" eb="2">
      <t>アカサカ</t>
    </rPh>
    <phoneticPr fontId="1"/>
  </si>
  <si>
    <t>https://www.kokuchpro.com/event/d45fe1c6ba22e396d50f068bf7f69a71/</t>
  </si>
  <si>
    <t>18:00〜18:50</t>
  </si>
  <si>
    <t>18:30〜21:00</t>
  </si>
  <si>
    <t>東京IT飲み会</t>
  </si>
  <si>
    <t>https://itnomikai.com/event/detail/207</t>
  </si>
  <si>
    <t>18:50～20:30</t>
  </si>
  <si>
    <t>SES交流会&amp;Aillume説明会</t>
  </si>
  <si>
    <t>株式会社キャリアビート</t>
  </si>
  <si>
    <t>https://www.kokuchpro.com/event/fe33d824f9cc9c00f8a3ac276369c711/</t>
  </si>
  <si>
    <t>14:00〜15:00</t>
  </si>
  <si>
    <t>https://www.kokuchpro.com/event/18b59a5b86050ea443ced9f2f371b6b4/</t>
  </si>
  <si>
    <t>https://www.kokuchpro.com/event/revision_260122/</t>
  </si>
  <si>
    <t>麻布台</t>
    <rPh sb="0" eb="3">
      <t>アザブダイ</t>
    </rPh>
    <phoneticPr fontId="1"/>
  </si>
  <si>
    <t>https://www.kokuchpro.com/event/b9f838d71d0d64ac86a9649a839c0c10/</t>
  </si>
  <si>
    <t>18:30-19:30</t>
  </si>
  <si>
    <t>13:30〜15:30</t>
  </si>
  <si>
    <t>SESマッピング名刺交換会</t>
  </si>
  <si>
    <t>合同会社RK</t>
  </si>
  <si>
    <t>https://www.kokuchpro.com/event/sten1/3651785/</t>
  </si>
  <si>
    <t>神戸</t>
    <rPh sb="0" eb="2">
      <t>コウベ</t>
    </rPh>
    <phoneticPr fontId="1"/>
  </si>
  <si>
    <t>18:30～20:30</t>
  </si>
  <si>
    <t>五反田</t>
    <rPh sb="0" eb="3">
      <t>ゴタンダ</t>
    </rPh>
    <phoneticPr fontId="1"/>
  </si>
  <si>
    <t>株式会社シー・エス・エス</t>
  </si>
  <si>
    <t>Qube</t>
  </si>
  <si>
    <t>https://qube-q.com/public/events/830</t>
  </si>
  <si>
    <t>18:00～20:30</t>
  </si>
  <si>
    <t>名古屋IT飲み会</t>
  </si>
  <si>
    <t>https://itnomikai.com/event/detail/208</t>
  </si>
  <si>
    <t>19:00～21:00</t>
  </si>
  <si>
    <t>東陽町</t>
  </si>
  <si>
    <t>https://www.kokuchpro.com/event/c02bce838e8c45022fd59d6b18e0f672/</t>
  </si>
  <si>
    <t>SES企業様向け パートナー交流会</t>
  </si>
  <si>
    <t>https://www.kokuchpro.com/event/3ef11c925022b36341830ec9137e2f44/</t>
  </si>
  <si>
    <t>18:00〜19:00</t>
  </si>
  <si>
    <t>SESビジネス交流会</t>
  </si>
  <si>
    <t>https://www.kokuchpro.com/event/e4121dfb255142766fa358606c7e9af5/</t>
  </si>
  <si>
    <t>https://www.kokuchpro.com/event/ses/3608251/</t>
  </si>
  <si>
    <t>アサインナビ</t>
  </si>
  <si>
    <t>https://www.kokuchpro.com/event/4f8fe8b42492aab2fd1dc2df385a9136/</t>
  </si>
  <si>
    <t>新宿</t>
    <rPh sb="0" eb="2">
      <t>シンジュク</t>
    </rPh>
    <phoneticPr fontId="1"/>
  </si>
  <si>
    <t xml:space="preserve">SES交流会 </t>
  </si>
  <si>
    <t>https://kokc.jp/e/shinjuku_ses_2026/</t>
  </si>
  <si>
    <t>14:00〜16:00</t>
  </si>
  <si>
    <t>SESを語る会</t>
  </si>
  <si>
    <t>BUCHIKAMA</t>
  </si>
  <si>
    <t>https://www.kokuchpro.com/event/5c0723497700b204f773671935214a88/</t>
  </si>
  <si>
    <t>17:00〜18:30</t>
  </si>
  <si>
    <t>https://www.kokuchpro.com/event/eb3bc223be591b7e6e474af3154f691a/</t>
  </si>
  <si>
    <t>https://www.z2024.jp/event-details/akihabara-ses-meetup-202602</t>
  </si>
  <si>
    <t>https://www.kokuchpro.com/event/ses/3645992/</t>
  </si>
  <si>
    <t>18:00～20:00</t>
  </si>
  <si>
    <t>https://www.kokuchpro.com/event/c9980971224d59b043f1011e2790d4c0/</t>
  </si>
  <si>
    <t>https://www.kokuchpro.com/event/a8181d66cc0b29f3c91ddef655d43301/</t>
  </si>
  <si>
    <t>船橋</t>
    <rPh sb="0" eb="2">
      <t>フナバシ</t>
    </rPh>
    <phoneticPr fontId="1"/>
  </si>
  <si>
    <t>https://www.kokuchpro.com/event/funabashi_ses_meetup/</t>
  </si>
  <si>
    <t>https://www.kokuchpro.com/event/omiya_ses_meetup/</t>
  </si>
  <si>
    <t>BizTalk ～インフラ編～</t>
  </si>
  <si>
    <t>https://www.kokuchpro.com/event/fb6a6e2f11c509c066d02ffda54721c4/</t>
  </si>
  <si>
    <t xml:space="preserve">SES/IT交流会 </t>
  </si>
  <si>
    <t>https://kokc.jp/e/fukuoka_ses/</t>
  </si>
  <si>
    <t>https://www.kokuchpro.com/event/9c9c57fff1d3c2636e83f9e6465c3509/</t>
  </si>
  <si>
    <t>18:30-21:00</t>
  </si>
  <si>
    <t>札幌</t>
    <rPh sb="0" eb="2">
      <t>サッポロ</t>
    </rPh>
    <phoneticPr fontId="1"/>
  </si>
  <si>
    <t>https://kokc.jp/e/c0825974e14750275b888d48faeadfcf/</t>
  </si>
  <si>
    <t>14:30〜16:30</t>
  </si>
  <si>
    <t>https://www.kokuchpro.com/event/662b03e5421f94979e940721699319e7/</t>
  </si>
  <si>
    <t>https://www.kokuchpro.com/event/6ecccb8c8e7457e868970d385012375f/</t>
  </si>
  <si>
    <t>梅田</t>
    <rPh sb="0" eb="2">
      <t>ウメダ</t>
    </rPh>
    <phoneticPr fontId="1"/>
  </si>
  <si>
    <t>ITエンジニア新年会</t>
  </si>
  <si>
    <t>https://www.kokuchpro.com/event/9f522e470e6d07c76c46e64922cf0c81/</t>
  </si>
  <si>
    <t>19:45〜21:15</t>
  </si>
  <si>
    <t>https://www.kokuchpro.com/event/f3e3650af7bc0aeabb235bafd5a09b68/</t>
  </si>
  <si>
    <t>恵比寿</t>
    <rPh sb="0" eb="3">
      <t>エビス</t>
    </rPh>
    <phoneticPr fontId="1"/>
  </si>
  <si>
    <t>株式会社テックビズ</t>
  </si>
  <si>
    <t>https://www.kokuchpro.com/event/35607a693686294a0c01df1a9a599c6c/</t>
  </si>
  <si>
    <t>https://www.kokuchpro.com/event/a3970e508c62a6e3a8d4f59ed651b3c5/</t>
  </si>
  <si>
    <t>SES/IT企業交流会</t>
  </si>
  <si>
    <t>https://www.kokuchpro.com/event/5e285b217a7d7e64b23423cb72484c72/</t>
  </si>
  <si>
    <t>INTLOOP株式会社</t>
  </si>
  <si>
    <t>https://www.kokuchpro.com/event/intloop_bp_vol02/</t>
  </si>
  <si>
    <t>https://www.kokuchpro.com/event/revision_260218/</t>
  </si>
  <si>
    <t>https://www.kokuchpro.com/event/c3856912042c531fbe3718fa848cc86f/3668951/</t>
  </si>
  <si>
    <t>https://www.kokuchpro.com/event/87a341d63668d97e9e8278a93073dbaa/</t>
  </si>
  <si>
    <t>14:00〜15:10</t>
  </si>
  <si>
    <t>https://www.kokuchpro.com/event/6ae398738e6e3cc4d6a2017c538354fd/</t>
  </si>
  <si>
    <t>area</t>
    <phoneticPr fontId="1"/>
  </si>
  <si>
    <t>capacity</t>
    <phoneticPr fontId="1"/>
  </si>
  <si>
    <t>event_name</t>
    <phoneticPr fontId="1"/>
  </si>
  <si>
    <t>organizer</t>
    <phoneticPr fontId="1"/>
  </si>
  <si>
    <t>price</t>
    <phoneticPr fontId="1"/>
  </si>
  <si>
    <t>ゴリラビジネス交流会</t>
    <rPh sb="7" eb="10">
      <t>コウリュウカイ</t>
    </rPh>
    <phoneticPr fontId="1"/>
  </si>
  <si>
    <t>https://www.kokuchpro.com/event/4233f7ae3f5ee8162492ae04159c96f0/3708211/</t>
    <phoneticPr fontId="1"/>
  </si>
  <si>
    <t>https://www.kokuchpro.com/event/978cddeb965939e08df4ec511c99b95e/</t>
  </si>
  <si>
    <t>16:00〜17:00</t>
    <phoneticPr fontId="1"/>
  </si>
  <si>
    <t>17:00〜18:45</t>
    <phoneticPr fontId="1"/>
  </si>
  <si>
    <t>https://free-ses-exchangemeeting.com/</t>
    <phoneticPr fontId="1"/>
  </si>
  <si>
    <t>17:00〜19:00</t>
  </si>
  <si>
    <t>Crown×テックビズ主催 SES/IT交流会</t>
  </si>
  <si>
    <t>https://www.kokuchpro.com/event/60ad3ff748e15117eecdf0921aae36b1/</t>
    <phoneticPr fontId="1"/>
  </si>
  <si>
    <t>https://www.kokuchpro.com/event/a25fd8d796cf08b32b3a97a48d64046d/</t>
  </si>
  <si>
    <t>19:00〜20:30</t>
  </si>
  <si>
    <t>未経験～3年目営業向けSES営業交流会</t>
    <phoneticPr fontId="1"/>
  </si>
  <si>
    <t>株式会社アークウィズコンサルティング</t>
  </si>
  <si>
    <t>https://www.kokuchpro.com/event/378fe50495cd91165d4029a3b79f2d52/</t>
  </si>
  <si>
    <t>SES企業様向けパートナー交流会</t>
    <phoneticPr fontId="1"/>
  </si>
  <si>
    <t>https://www.kokuchpro.com/event/67e633af67c83252b0212af540ca8976/</t>
  </si>
  <si>
    <t>19:00〜20:45</t>
    <phoneticPr fontId="1"/>
  </si>
  <si>
    <t>六本木</t>
    <rPh sb="0" eb="3">
      <t>ロッポンギ</t>
    </rPh>
    <phoneticPr fontId="1"/>
  </si>
  <si>
    <t>SES六本木ヒルズ交換会</t>
  </si>
  <si>
    <t>株式会社リンクス</t>
  </si>
  <si>
    <t>https://www.kokuchpro.com/event/3a192e4b748970d05ff1bb83dd49a2be/</t>
    <phoneticPr fontId="1"/>
  </si>
  <si>
    <t>14:00〜15:45</t>
  </si>
  <si>
    <t>外国人エンジニア活用SES交流会</t>
    <phoneticPr fontId="1"/>
  </si>
  <si>
    <t>https://www.kokuchpro.com/event/ee76c44aa0dfbfe8fee640e997cb07d8/</t>
    <phoneticPr fontId="1"/>
  </si>
  <si>
    <t>16:00～17:45</t>
    <phoneticPr fontId="1"/>
  </si>
  <si>
    <t>https://www.kokuchpro.com/event/ses_akihabara/</t>
    <phoneticPr fontId="1"/>
  </si>
  <si>
    <t>18:30〜20:00</t>
  </si>
  <si>
    <t>SES/ITビジネス交流会</t>
  </si>
  <si>
    <t>東京ビジネス交流会</t>
  </si>
  <si>
    <t>https://www.kokuchpro.com/event/9c7d3fa12c4682751a8f5ea5d7b27275/</t>
    <phoneticPr fontId="1"/>
  </si>
  <si>
    <t>https://www.kokuchpro.com/event/9c9c57fff1d3c2636e83f9e6465c3509/3704644/</t>
    <phoneticPr fontId="1"/>
  </si>
  <si>
    <t>https://www.kokuchpro.com/event/bd25ba54b50352c4ff15fd435a5291fc/</t>
  </si>
  <si>
    <t>受託開発ビジネス交流会</t>
    <phoneticPr fontId="1"/>
  </si>
  <si>
    <t>発注ナビ株式会社</t>
    <phoneticPr fontId="1"/>
  </si>
  <si>
    <t>https://www.kokuchpro.com/event/1eb0a1b37d3f17bf1d115daa0814cdf9/</t>
    <phoneticPr fontId="1"/>
  </si>
  <si>
    <t>受託開発・SES交流会</t>
    <phoneticPr fontId="1"/>
  </si>
  <si>
    <t>https://www.kokuchpro.com/event/9ddcca7478600e0a8e41e81fa4311238/</t>
    <phoneticPr fontId="1"/>
  </si>
  <si>
    <t>セラクパートナシッププログラム</t>
    <phoneticPr fontId="1"/>
  </si>
  <si>
    <t>https://www.kokuchpro.com/event/f0a8c63772fbe7de5974e587f8f46233/</t>
    <phoneticPr fontId="1"/>
  </si>
  <si>
    <t>https://www.kokuchpro.com/event/751a259d2d84487aae21976c35f65abe/3688634/</t>
  </si>
  <si>
    <t>16:00〜17:45</t>
  </si>
  <si>
    <t>SES/IT交流会</t>
    <rPh sb="6" eb="9">
      <t>コウリュウカイ</t>
    </rPh>
    <phoneticPr fontId="1"/>
  </si>
  <si>
    <t>https://www.kokuchpro.com/event/yokohama_ses/</t>
    <phoneticPr fontId="1"/>
  </si>
  <si>
    <t>18:00～20:00</t>
    <phoneticPr fontId="1"/>
  </si>
  <si>
    <t>株式会社パルディアス</t>
    <phoneticPr fontId="1"/>
  </si>
  <si>
    <t>https://www.kokuchpro.com/event/ikebukuro_ses_meetup/</t>
    <phoneticPr fontId="1"/>
  </si>
  <si>
    <t>15:00〜16:50</t>
    <phoneticPr fontId="1"/>
  </si>
  <si>
    <t>18:30〜20:00</t>
    <phoneticPr fontId="1"/>
  </si>
  <si>
    <t>SES/ITビジネス交流会</t>
    <phoneticPr fontId="1"/>
  </si>
  <si>
    <t>東京ビジネス交流会</t>
    <phoneticPr fontId="1"/>
  </si>
  <si>
    <t>https://www.kokuchpro.com/event/ses_osaka/3555264/</t>
    <phoneticPr fontId="1"/>
  </si>
  <si>
    <t>https://www.kokuchpro.com/event/futsal_meetup/</t>
    <phoneticPr fontId="1"/>
  </si>
  <si>
    <t>https://www.kokuchpro.com/event/a1bce9212756fcf416b6b4f94528704f/</t>
  </si>
  <si>
    <t>https://www.kokuchpro.com/event/36e6a3203b62457bb761cbbb57cf2674/</t>
  </si>
  <si>
    <t>10:30〜12:00</t>
  </si>
  <si>
    <t>四谷三丁目</t>
    <rPh sb="0" eb="2">
      <t>ヨツヤ</t>
    </rPh>
    <rPh sb="2" eb="5">
      <t>サンチョウメ</t>
    </rPh>
    <phoneticPr fontId="1"/>
  </si>
  <si>
    <t>SES交流会 </t>
  </si>
  <si>
    <t>株式会社Koinobori </t>
  </si>
  <si>
    <t>https://www.kokuchpro.com/event/0109c08d933a556c9f64e0ff64dc7991/</t>
  </si>
  <si>
    <t>https://www.z2024.jp/event-details/shibuya-ses-202604</t>
    <phoneticPr fontId="1"/>
  </si>
  <si>
    <t>18:50～20:30</t>
    <phoneticPr fontId="1"/>
  </si>
  <si>
    <t>名古屋</t>
    <rPh sb="0" eb="3">
      <t>ナゴヤ</t>
    </rPh>
    <phoneticPr fontId="1"/>
  </si>
  <si>
    <t>https://www.kokuchpro.com/event/b2a9706c54c83342535261c8d5dca180/3680551/</t>
  </si>
  <si>
    <t>金沢</t>
    <rPh sb="0" eb="2">
      <t>カナザワ</t>
    </rPh>
    <phoneticPr fontId="1"/>
  </si>
  <si>
    <t>京都</t>
    <rPh sb="0" eb="2">
      <t>キョウト</t>
    </rPh>
    <phoneticPr fontId="1"/>
  </si>
  <si>
    <t>18:30〜19:30</t>
    <phoneticPr fontId="1"/>
  </si>
  <si>
    <t>17:30〜18:00</t>
    <phoneticPr fontId="1"/>
  </si>
  <si>
    <t>名刺大交換会・懇親会</t>
  </si>
  <si>
    <t>3共催 SES/IT交流会</t>
    <rPh sb="1" eb="3">
      <t>キョウサイ</t>
    </rPh>
    <phoneticPr fontId="1"/>
  </si>
  <si>
    <t>https://www.kokuchpro.com/event/f0a8c63772fbe7de5974e587f8f46233/</t>
  </si>
  <si>
    <t>https://www.kokuchpro.com/event/1e8dc60bc48da7ed7f122ed013188268/</t>
  </si>
  <si>
    <t>15:30〜17:00</t>
  </si>
  <si>
    <t>ITビジネス交流会</t>
    <phoneticPr fontId="1"/>
  </si>
  <si>
    <t>株式会社ユニオンコンサルタント</t>
  </si>
  <si>
    <t>株式会社NEXT TECHNOLOGY</t>
  </si>
  <si>
    <t>AKKODiSコンサルティング株式会社</t>
    <phoneticPr fontId="1"/>
  </si>
  <si>
    <t>株式会社なごみプロモーション</t>
    <phoneticPr fontId="1"/>
  </si>
  <si>
    <t xml:space="preserve">株式会社NEXT TECHNOLOGY </t>
  </si>
  <si>
    <t>株式会社SBT／中村高志</t>
    <rPh sb="0" eb="4">
      <t>カブシキガイシャ</t>
    </rPh>
    <rPh sb="8" eb="12">
      <t>ナカムラタカシ</t>
    </rPh>
    <phoneticPr fontId="1"/>
  </si>
  <si>
    <t>株式会社iRup／Spurs株式会社</t>
    <phoneticPr fontId="1"/>
  </si>
  <si>
    <t>株式会社Crown／株式会社テックビズ</t>
    <phoneticPr fontId="1"/>
  </si>
  <si>
    <t>zetto／株式会社エスアイイー</t>
    <phoneticPr fontId="1"/>
  </si>
  <si>
    <t>zetto／株式会社エンジンポット琉球／株式会社Enseed</t>
    <phoneticPr fontId="1"/>
  </si>
  <si>
    <t>QubeMeetup ～IT企業新年交流会～</t>
    <phoneticPr fontId="1"/>
  </si>
  <si>
    <t>date</t>
    <phoneticPr fontId="1"/>
  </si>
  <si>
    <t>time</t>
    <phoneticPr fontId="1"/>
  </si>
  <si>
    <t>不要</t>
    <rPh sb="0" eb="2">
      <t>フヨウ</t>
    </rPh>
    <phoneticPr fontId="1"/>
  </si>
  <si>
    <t>株式会社ベルナー</t>
    <phoneticPr fontId="1"/>
  </si>
  <si>
    <t>交流会事務局</t>
    <phoneticPr fontId="1"/>
  </si>
  <si>
    <t>株式会社NEXT TECHNOLOG</t>
    <phoneticPr fontId="1"/>
  </si>
  <si>
    <t>株式会社サムシングファン</t>
    <phoneticPr fontId="1"/>
  </si>
  <si>
    <t>株式会社NEXT TECHNOLOGY</t>
    <rPh sb="0" eb="4">
      <t>カブシキガイシャ</t>
    </rPh>
    <phoneticPr fontId="1"/>
  </si>
  <si>
    <t>発注ナビ株式会社／レバテック株式会社</t>
    <phoneticPr fontId="1"/>
  </si>
  <si>
    <t>Hive Lab</t>
    <phoneticPr fontId="1"/>
  </si>
  <si>
    <t>株式会社システムリンク</t>
    <phoneticPr fontId="1"/>
  </si>
  <si>
    <t>株式会社ステラ</t>
    <phoneticPr fontId="1"/>
  </si>
  <si>
    <t>株式会社アクロスペイラ</t>
    <phoneticPr fontId="1"/>
  </si>
  <si>
    <t>株式会社ラージック</t>
    <phoneticPr fontId="1"/>
  </si>
  <si>
    <t>CloudMeets</t>
    <phoneticPr fontId="1"/>
  </si>
  <si>
    <t>株式会社rexcornu／ビート・イット</t>
    <phoneticPr fontId="1"/>
  </si>
  <si>
    <t>SEPEX</t>
    <phoneticPr fontId="1"/>
  </si>
  <si>
    <t>株式会社Mamol</t>
    <rPh sb="0" eb="4">
      <t>カブシキガイシャ</t>
    </rPh>
    <phoneticPr fontId="1"/>
  </si>
  <si>
    <t>ITピンポン交流会</t>
  </si>
  <si>
    <t>https://www.kokuchpro.com/event/0f05d2427e924290a3a4e6a092218fa8/</t>
  </si>
  <si>
    <t>https://www.kokuchpro.com/event/ses/3733946/</t>
  </si>
  <si>
    <t>18:00〜19:30</t>
  </si>
  <si>
    <t>https://www.kokuchpro.com/event/c7d46c084dce8eff57d9b97c34da0611/</t>
  </si>
  <si>
    <t>https://www.kokuchpro.com/event/b5d745a6d1103c4dc0ef3cf5fffd1738/</t>
  </si>
  <si>
    <t>株式会社Riding</t>
  </si>
  <si>
    <t>https://www.kokuchpro.com/event/b39fac966f01497f42528add6c58fcde/</t>
  </si>
  <si>
    <t>https://www.kokuchpro.com/event/14c11692f0482e4b7eba0d15b7f8e4b2/</t>
  </si>
  <si>
    <t>無料のITビジネス交流会</t>
    <rPh sb="0" eb="2">
      <t>ムリョウ</t>
    </rPh>
    <rPh sb="9" eb="12">
      <t>コウリュウカイ</t>
    </rPh>
    <phoneticPr fontId="1"/>
  </si>
  <si>
    <t>ベルナー</t>
  </si>
  <si>
    <t>17:00〜18:00</t>
  </si>
  <si>
    <t>女性限定!SES交流会</t>
  </si>
  <si>
    <t>https://www.kokuchpro.com/event/a9e680c3b9ed8444d3f0f966a497605b/</t>
  </si>
  <si>
    <t>https://www.kokuchpro.com/event/e7a91cfee076f995a1d612125a66e29b/</t>
  </si>
  <si>
    <t>18:00〜21:00</t>
  </si>
  <si>
    <t>SESビジネスパートナー交流会</t>
  </si>
  <si>
    <t>株式会社UP MILLS</t>
  </si>
  <si>
    <t>https://www.kokuchpro.com/event/2ea30109f3cb960ebc28a7c65a4c2286/</t>
  </si>
  <si>
    <t>18:15〜19:45</t>
  </si>
  <si>
    <t>株式会社ウィジェット</t>
  </si>
  <si>
    <t>https://www.kokuchpro.com/event/b7fb8fb3542de2cdc9a6cdbdb50e8baf/</t>
  </si>
  <si>
    <t>18:45〜20:30</t>
  </si>
  <si>
    <t>アディクシィ株式会社</t>
  </si>
  <si>
    <t>https://www.kokuchpro.com/event/adixi3/</t>
  </si>
  <si>
    <t>株式会社NEXTTECHNOLOGY</t>
  </si>
  <si>
    <t>https://www.kokuchpro.com/event/8e6178a1fbb69fab1969e1cdfd924332/</t>
  </si>
  <si>
    <t>https://www.kokuchpro.com/event/5882cb8aca3ce7f43ece11cf6b02d267/</t>
  </si>
  <si>
    <t>16:00～17:45</t>
  </si>
  <si>
    <t>https://www.z2024.jp/event-details/akihabara-ses-202604</t>
  </si>
  <si>
    <t>https://www.kokuchpro.com/event/revision_260422/</t>
  </si>
  <si>
    <t>16:00～17:30</t>
  </si>
  <si>
    <t>https://www.z2024.jp/event-details/fukuoka-ses-202604</t>
  </si>
  <si>
    <t>㈱なごみプロモーション</t>
  </si>
  <si>
    <t>https://www.kokuchpro.com/event/f8768bcbf1fdfdf6622b1bd7af249773/</t>
  </si>
  <si>
    <t>SES×BUSINESS×フットサル交流会</t>
  </si>
  <si>
    <t>https://www.z2024.jp/event-details/fukuoka-futsal-meetup</t>
  </si>
  <si>
    <t>四谷</t>
    <rPh sb="0" eb="2">
      <t>ヨツヤ</t>
    </rPh>
    <phoneticPr fontId="1"/>
  </si>
  <si>
    <t>https://www.kokuchpro.com/event/7521601b746d14e85118a8191641ff39/</t>
  </si>
  <si>
    <t>https://www.kokuchpro.com/event/5acecea94e41dc4557c3b146b378cc51/</t>
  </si>
  <si>
    <t>https://www.z2024.jp/event-details/okinawa-ses-it-meetup-2026</t>
  </si>
  <si>
    <t>zetto／ZORKS沖縄／株式会社Enseed</t>
    <phoneticPr fontId="1"/>
  </si>
  <si>
    <t>SEPEX</t>
  </si>
  <si>
    <t>https://www.kokuchpro.com/event/ec725c0670a5700c21472e42743675a1/</t>
  </si>
  <si>
    <t>株式会社DYMキャリア</t>
  </si>
  <si>
    <t>https://www.kokuchpro.com/event/c31e6417c044f82892d47e2a1614c27f/</t>
  </si>
  <si>
    <t>13:30〜14:30</t>
  </si>
  <si>
    <t>ses交流会</t>
  </si>
  <si>
    <t>https://www.kokuchpro.com/event/463bd830d140d25d20dc75e8d03383d1/</t>
  </si>
  <si>
    <t>17:45〜19:15</t>
  </si>
  <si>
    <t>株式会社LEGAREA </t>
  </si>
  <si>
    <t>https://www.kokuchpro.com/event/fb8ccac84dbc2dfab14458a1f36799ee/</t>
  </si>
  <si>
    <t>https://www.kokuchpro.com/event/17a91949cd0ea31cfc19ad9b276d6608/</t>
  </si>
  <si>
    <t>17:30〜18:30</t>
  </si>
  <si>
    <t>DiCE JAPAN株式会社</t>
  </si>
  <si>
    <t>https://www.kokuchpro.com/event/2633ecca081fb41e1da7061f9e8a3101/3747443/</t>
  </si>
  <si>
    <t>https://www.kokuchpro.com/event/cce76703af60042acbf9ef6332933793/</t>
  </si>
  <si>
    <t>18:30～21:00</t>
  </si>
  <si>
    <t>https://www.z2024.jp/event-details/sapporo-ses-202605</t>
  </si>
  <si>
    <t>https://www.kokuchpro.com/event/c3856912042c531fbe3718fa848cc86f/3760902/</t>
  </si>
  <si>
    <t>株式会社セラク </t>
  </si>
  <si>
    <t>https://www.kokuchpro.com/event/41931d42a126f682f6055f37b4cc3bc9/</t>
  </si>
  <si>
    <t>https://www.kokuchpro.com/event/9c9c57fff1d3c2636e83f9e6465c3509/3752673/</t>
  </si>
  <si>
    <t>受託開発経営者交流会</t>
  </si>
  <si>
    <t>https://www.kokuchpro.com/event/a0031d7291e98cb96d62ba4ba0dbe80e/</t>
  </si>
  <si>
    <t>IT/SES業界 交流会</t>
  </si>
  <si>
    <t>https://www.kokuchpro.com/event/0a62c02f792357bfed775f95c2cd5003/</t>
  </si>
  <si>
    <t>ITマッチング協会事務局</t>
  </si>
  <si>
    <t>https://www.kokuchpro.com/event/itma104/</t>
  </si>
  <si>
    <t>https://www.kokuchpro.com/event/b6b8087bbfb5445b8256e1ffc58e7e8b/</t>
  </si>
  <si>
    <t>https://www.kokuchpro.com/event/ses/3760161/</t>
  </si>
  <si>
    <t>火</t>
  </si>
  <si>
    <t>https://www.z2024.jp/event-details/shinjuku-ses-meetup-202605</t>
  </si>
  <si>
    <t>水</t>
  </si>
  <si>
    <t>https://www.z2024.jp/event-details/toyochyou-futsal-meetup</t>
  </si>
  <si>
    <t>木</t>
  </si>
  <si>
    <t>金</t>
  </si>
  <si>
    <t>18:00〜20:00</t>
  </si>
  <si>
    <t>https://www.kokuchpro.com/event/57a7086fe905d05aece814728e989f58/</t>
  </si>
  <si>
    <t>武蔵境</t>
  </si>
  <si>
    <t>(株)アストロ ?</t>
  </si>
  <si>
    <t>15:00～16:45</t>
  </si>
  <si>
    <t>町田</t>
    <rPh sb="0" eb="2">
      <t>マチダ</t>
    </rPh>
    <phoneticPr fontId="1"/>
  </si>
  <si>
    <t>https://www.z2024.jp/event-details/machida-ses-it-202605</t>
  </si>
  <si>
    <t>https://www.kokuchpro.com/event/3948bfc19024d64ec97e5361b2eadcf0/</t>
  </si>
  <si>
    <t>18:00～19:45</t>
  </si>
  <si>
    <t xml:space="preserve">2周年!SES交流会 </t>
    <rPh sb="1" eb="3">
      <t>シュウネン</t>
    </rPh>
    <phoneticPr fontId="1"/>
  </si>
  <si>
    <t>https://www.z2024.jp/event-details/akihabara-ses-202605</t>
  </si>
  <si>
    <t>https://www.kokuchpro.com/event/ses_osaka/3747844/</t>
  </si>
  <si>
    <t>https://www.z2024.jp/event-details/nagoya-ses-it-meetup</t>
  </si>
  <si>
    <t>https://www.z2024.jp/event-details/osaka-ses-it-meetup</t>
  </si>
  <si>
    <t xml:space="preserve">INSERT INTO `events` (`id`, `event_date`, `organizer`, `event_name`, `event_number`, `area`, `place`, `price`, `capacity`, `created`, `updated`) VALUES </t>
    <phoneticPr fontId="1"/>
  </si>
  <si>
    <t>https://www.kokuchpro.com/event/5ab1db93490f22d69298e1b8b2a02fb8/</t>
  </si>
  <si>
    <t>両国</t>
  </si>
  <si>
    <t>https://www.kokuchpro.com/event/a84b6ad0ebec8f98d9577e9ac87436b7/</t>
  </si>
  <si>
    <t>https://www.kokuchpro.com/event/56bc766cb0eac8f440c4a220f1869d46/</t>
  </si>
  <si>
    <t>17:30〜19:30</t>
    <phoneticPr fontId="1"/>
  </si>
  <si>
    <t>18:30〜20:00</t>
    <phoneticPr fontId="1"/>
  </si>
  <si>
    <t>19:00〜20:30</t>
    <phoneticPr fontId="1"/>
  </si>
  <si>
    <t>https://www.kokuchpro.com/event/7eb1c2b9b043ae3755ac10e8e3f5eb50/</t>
  </si>
  <si>
    <t>㈱NEXTTECHNOLOGY</t>
  </si>
  <si>
    <t>https://www.kokuchpro.com/event/06028bc5d4d5fca04c6a3efa90a1fd3d/</t>
  </si>
  <si>
    <t>16:00〜18:00</t>
    <phoneticPr fontId="1"/>
  </si>
  <si>
    <t>SESボウリング交流会</t>
  </si>
  <si>
    <t>株式会社パルディアス</t>
  </si>
  <si>
    <t>https://www.kokuchpro.com/event/ikebukuro_b_meetup/</t>
  </si>
  <si>
    <t>19:30〜21:30</t>
  </si>
  <si>
    <t>麹町</t>
    <rPh sb="0" eb="2">
      <t>コウジマチ</t>
    </rPh>
    <phoneticPr fontId="1"/>
  </si>
  <si>
    <t>株式会社プラウドデータ</t>
  </si>
  <si>
    <t>https://www.kokuchpro.com/event/0bc7365760124d6f6bb0b93305e90baa/</t>
  </si>
  <si>
    <t>https://www.kokuchpro.com/event/revision_260520/</t>
  </si>
  <si>
    <t>https://www.kokuchpro.com/event/751a259d2d84487aae21976c35f65abe/3769899/</t>
  </si>
  <si>
    <t>https://www.kokuchpro.com/event/d678b33da181501ba3b25b8844df0365/</t>
  </si>
  <si>
    <t>15:00〜17:00</t>
  </si>
  <si>
    <t>https://www.kokuchpro.com/event/5d8dcff6ff96ba4a7a4b5cdede1b2b2c/</t>
  </si>
  <si>
    <t>https://www.kokuchpro.com/event/860f00a78a0ba574a14882c1f0fcf65c/</t>
  </si>
  <si>
    <t>https://www.kokuchpro.com/event/b2a9706c54c83342535261c8d5dca180/3754013/</t>
  </si>
  <si>
    <t>https://www.kokuchpro.com/event/b2a9706c54c83342535261c8d5dca180/3754019/</t>
  </si>
  <si>
    <t>https://www.kokuchpro.com/event/36e6a3203b62457bb761cbbb57cf2674/3754050/</t>
  </si>
  <si>
    <t>福岡</t>
    <rPh sb="0" eb="2">
      <t>フクオカ</t>
    </rPh>
    <phoneticPr fontId="1"/>
  </si>
  <si>
    <t>https://www.kokuchpro.com/event/b2a9706c54c83342535261c8d5dca180/3754020/</t>
  </si>
  <si>
    <t>https://www.kokuchpro.com/event/b2a9706c54c83342535261c8d5dca180/3754023/</t>
  </si>
  <si>
    <t>https://www.kokuchpro.com/event/36e6a3203b62457bb761cbbb57cf2674/3754052/</t>
  </si>
  <si>
    <t>https://www.kokuchpro.com/event/f6bd516791b1459f99207604c81b331b/</t>
  </si>
  <si>
    <t>株式会社acro-one</t>
  </si>
  <si>
    <t>https://www.kokuchpro.com/event/8758c39b783b0310689fcd4470a40a6e/</t>
    <phoneticPr fontId="1"/>
  </si>
  <si>
    <t>NOBORIBA SES交流会</t>
    <phoneticPr fontId="1"/>
  </si>
  <si>
    <t xml:space="preserve">株式会社Koinobori  </t>
    <phoneticPr fontId="1"/>
  </si>
  <si>
    <t>https://www.kokuchpro.com/event/ae1358460ac8060360f1b87df474198c/</t>
    <phoneticPr fontId="1"/>
  </si>
  <si>
    <t>https://www.kokuchpro.com/event/revision_260617/</t>
  </si>
  <si>
    <t>永田町</t>
    <rPh sb="0" eb="2">
      <t>ナガタ</t>
    </rPh>
    <rPh sb="2" eb="3">
      <t>マチ</t>
    </rPh>
    <phoneticPr fontId="1"/>
  </si>
  <si>
    <t>株式会社テックピット</t>
  </si>
  <si>
    <t>https://www.kokuchpro.com/event/253f266854c610d02464a7e5248503fb/</t>
    <phoneticPr fontId="1"/>
  </si>
  <si>
    <t>https://www.kokuchpro.com/event/100333c5d3e06048f9e23294804999e4/</t>
    <phoneticPr fontId="1"/>
  </si>
  <si>
    <t>https://www.kokuchpro.com/event/e8832b95c71d90b97e6547b4994f082c/</t>
  </si>
  <si>
    <t>17:00～20:00</t>
  </si>
  <si>
    <t>駒沢</t>
    <rPh sb="0" eb="2">
      <t>コマザワ</t>
    </rPh>
    <phoneticPr fontId="1"/>
  </si>
  <si>
    <t>enginepot × zetto</t>
  </si>
  <si>
    <t>https://www.z2024.jp/event-details/komazawa-ses</t>
  </si>
  <si>
    <t>武蔵境</t>
    <rPh sb="0" eb="2">
      <t>ムサシ</t>
    </rPh>
    <rPh sb="2" eb="3">
      <t>サカイ</t>
    </rPh>
    <phoneticPr fontId="1"/>
  </si>
  <si>
    <t>(株)アストロ</t>
  </si>
  <si>
    <t>https://www.kokuchpro.com/event/af94fe30b4f61c48df76acc151bdca22/</t>
  </si>
  <si>
    <t>https://www.kokuchpro.com/event/1815998708d3d42a19fd1cf73c549364/</t>
  </si>
  <si>
    <t>https://www.kokuchpro.com/event/9d145106c991b0b3f0adb042a9fbea0c/</t>
  </si>
  <si>
    <t>https://www.kokuchpro.com/event/5ed5a4e13d25140a793a634615cda0a0/</t>
  </si>
  <si>
    <t>https://www.kokuchpro.com/event/e9500bf7cb9fb90441e589ef7a2b89eb/</t>
  </si>
  <si>
    <t>市ヶ谷</t>
  </si>
  <si>
    <t>SORART</t>
  </si>
  <si>
    <t>https://www.kokuchpro.com/event/sorart23/</t>
  </si>
  <si>
    <t>秋葉原</t>
    <rPh sb="0" eb="3">
      <t>アキハバラ</t>
    </rPh>
    <phoneticPr fontId="1"/>
  </si>
  <si>
    <t>https://www.z2024.jp/event-details/akihabara-ses-202606</t>
  </si>
  <si>
    <t>CXOレイヤー向けのトーク&amp;交流イベント</t>
  </si>
  <si>
    <t>https://www.kokuchpro.com/event/5032df02e0c8ad32ce6377df80f97c02/</t>
  </si>
  <si>
    <t>菊川</t>
  </si>
  <si>
    <t>https://www.kokuchpro.com/event/c3856912042c531fbe3718fa848cc86f/3796903/</t>
  </si>
  <si>
    <t>https://www.kokuchpro.com/event/e35d1dfa4cc551434eb3ef87970b2b0d/</t>
  </si>
  <si>
    <t>SES・IT企業名刺交換会</t>
  </si>
  <si>
    <t>株式会社VITA </t>
  </si>
  <si>
    <t>https://www.kokuchpro.com/event/c2f35bd642d9031afbb50021b04ffb7b/</t>
  </si>
  <si>
    <t>https://www.kokuchpro.com/event/d768e553808dfb9333f90cd256a19f90/3811768/</t>
  </si>
  <si>
    <t>https://www.kokuchpro.com/event/947fdff9b74ce494c7a63d55e6363890/</t>
  </si>
  <si>
    <t>SES事業及びIT関連企業限定交流会</t>
  </si>
  <si>
    <t>https://www.kokuchpro.com/event/8654fce99afcafb8663679be4f816edd/</t>
  </si>
  <si>
    <t>18:30〜20:30</t>
  </si>
  <si>
    <t>永田町</t>
    <rPh sb="0" eb="3">
      <t>ナガタチョウ</t>
    </rPh>
    <phoneticPr fontId="1"/>
  </si>
  <si>
    <t>SES勉強会</t>
  </si>
  <si>
    <t>https://www.kokuchpro.com/event/a2f85ffbbf9d7ac89272dd97cf209580/</t>
  </si>
  <si>
    <t>15:00〜16:00</t>
  </si>
  <si>
    <t>SES名刺交換会</t>
  </si>
  <si>
    <t>CloudMeets</t>
  </si>
  <si>
    <t>https://www.kokuchpro.com/event/d2364377c1c859da2711dd68524baa05/</t>
  </si>
  <si>
    <t>15:00〜17:30</t>
  </si>
  <si>
    <t>IT交流飲み会</t>
  </si>
  <si>
    <t>YTサークルIT部</t>
  </si>
  <si>
    <t>https://www.kokuchpro.com/event/81ccc59b4ee1cb825c09f20d3f51e236/</t>
  </si>
  <si>
    <t>https://www.kokuchpro.com/event/5aeeb29831cb76fa450b0d0354a4d331/</t>
  </si>
  <si>
    <t>19:00～20:30</t>
  </si>
  <si>
    <t>SORART（ソラート）</t>
  </si>
  <si>
    <t>https://www.kokuchpro.com/event/68d5c39f82bcd25f482d2306571ea3d4/</t>
  </si>
  <si>
    <t>(株)なごみプロモーション</t>
    <rPh sb="0" eb="3">
      <t>カブ</t>
    </rPh>
    <phoneticPr fontId="1"/>
  </si>
  <si>
    <t>https://www.kokuchpro.com/event/43be2aed9ac78421e0d70758b8e7820e/</t>
  </si>
  <si>
    <t>https://www.kokuchpro.com/event/be143d5c98b3942a3ab084a19796bdf5/</t>
  </si>
  <si>
    <t>https://www.z2024.jp/event-details/shinjuku-ses-meetup-202607</t>
  </si>
  <si>
    <t>15:30〜16:45</t>
  </si>
  <si>
    <t>㈱NEXT TECHNOLOGY</t>
  </si>
  <si>
    <t>https://www.kokuchpro.com/event/239f4b7feaa67a56b82f989359b4cab1/</t>
  </si>
  <si>
    <t>14:30～16:30</t>
  </si>
  <si>
    <t>https://www.kokuchpro.com/event/83252e6a77b78f059a3a2673b10b2220/</t>
  </si>
  <si>
    <t>18:30～19:30</t>
  </si>
  <si>
    <t>https://www.kokuchpro.com/event/8290acbac90350ddcb59664a4f58775a/</t>
  </si>
  <si>
    <t>https://www.kokuchpro.com/event/revision_260715/</t>
  </si>
  <si>
    <t>https://www.kokuchpro.com/event/8fe7f54b920d99ac22097a647873c2ab/</t>
  </si>
  <si>
    <t>https://www.z2024.jp/event-details/akihabara-ses-202607</t>
  </si>
  <si>
    <t>コトブキ経営株式会社</t>
    <rPh sb="6" eb="10">
      <t>カブシキガイシャ</t>
    </rPh>
    <phoneticPr fontId="1"/>
  </si>
  <si>
    <t>https://www.kokuchpro.com/event/b9651ce871747e0816838d979de2f0f7/3801266/</t>
  </si>
  <si>
    <t>https://www.kokuchpro.com/event/a9bfffb89ade615ede1e660a527b314c/</t>
  </si>
  <si>
    <t>https://www.kokuchpro.com/event/af80e2c983436f745469b6e3b68b91e6/</t>
  </si>
  <si>
    <t>https://www.kokuchpro.com/event/3ed15bc6122b1ed37b57a5cd442dc572/</t>
  </si>
  <si>
    <t>https://www.kokuchpro.com/event/sorart0729/</t>
  </si>
  <si>
    <t>https://www.kokuchpro.com/event/8bd9b340d8fb87fc114e9e14745f7af2/</t>
  </si>
  <si>
    <t>株式会社グロリアエンジニアリング／Spurs株式会社</t>
    <rPh sb="0" eb="4">
      <t>カブシキガイシャ</t>
    </rPh>
    <phoneticPr fontId="1"/>
  </si>
  <si>
    <t xml:space="preserve"> </t>
    <phoneticPr fontId="1"/>
  </si>
  <si>
    <t>10:30～12:00</t>
  </si>
  <si>
    <t>https://www.kokuchpro.com/event/151432e52509fc813e03faf9af480261/</t>
  </si>
  <si>
    <t>https://www.kokuchpro.com/event/c3856912042c531fbe3718fa848cc86f/3827128/</t>
  </si>
  <si>
    <t>https://www.kokuchpro.com/event/8b48e0efff7be0b8f7b01883461ec814/</t>
  </si>
  <si>
    <t>SES×AI活用開発交流会</t>
  </si>
  <si>
    <t>株式会社ユニオン </t>
  </si>
  <si>
    <t>https://www.kokuchpro.com/event/union710/</t>
  </si>
  <si>
    <t>https://www.kokuchpro.com/event/0dcbc5e321630bbc422a71cc4348c828/</t>
  </si>
  <si>
    <t>田町</t>
    <rPh sb="0" eb="1">
      <t>タ</t>
    </rPh>
    <rPh sb="1" eb="2">
      <t>マチ</t>
    </rPh>
    <phoneticPr fontId="1"/>
  </si>
  <si>
    <t> SES 名刺交換会(設立10年以上限定)</t>
  </si>
  <si>
    <t>https://www.kokuchpro.com/event/ab82a35eb0740f1c30b4576547c94d90/</t>
  </si>
  <si>
    <t>麻布十番</t>
    <rPh sb="0" eb="2">
      <t>アザブ</t>
    </rPh>
    <rPh sb="2" eb="4">
      <t>ジュウバン</t>
    </rPh>
    <phoneticPr fontId="1"/>
  </si>
  <si>
    <t>SES経営者・採用/人事責任者向け勉強会・交流会</t>
  </si>
  <si>
    <t>株式会社アトラエ オフィス</t>
  </si>
  <si>
    <t>https://www.kokuchpro.com/event/41ecd6e1337c8088573f6637d317d6b1/</t>
  </si>
  <si>
    <t>SES/システム開発交流会</t>
  </si>
  <si>
    <t>株式会社3SES</t>
  </si>
  <si>
    <t>https://www.kokuchpro.com/event/9cb7c296ccd4630f836b5b8f54833763/</t>
  </si>
  <si>
    <t>18:00～19:30</t>
  </si>
  <si>
    <t>https://www.kokuchpro.com/event/35c2a681f63fce4034c3160866d9f475/</t>
  </si>
  <si>
    <t>19:00〜22:00</t>
  </si>
  <si>
    <t>水道橋</t>
    <rPh sb="0" eb="3">
      <t>スイドウバシ</t>
    </rPh>
    <phoneticPr fontId="1"/>
  </si>
  <si>
    <t>株式会社アドシード</t>
  </si>
  <si>
    <t>https://www.kokuchpro.com/event/31945ecbcca4ee2a5210858b0404da53/</t>
  </si>
  <si>
    <t>大阪SES営業交流会</t>
  </si>
  <si>
    <t xml:space="preserve">	AppTime</t>
  </si>
  <si>
    <t>https://www.kokuchpro.com/event/36831285df7c2c9d320e04c00f1c5532/</t>
  </si>
  <si>
    <t>https://www.kokuchpro.com/event/c3856912042c531fbe3718fa848cc86f/3827185/</t>
  </si>
  <si>
    <t>https://www.kokuchpro.com/event/f0cf83c2b5c4e55bea72decf4cb3e9ae/</t>
  </si>
  <si>
    <t>https://www.z2024.jp/event-details/osaka-futsal-meetup</t>
  </si>
  <si>
    <t>zetto×株式会社シスプライマリー</t>
    <rPh sb="6" eb="10">
      <t>カブシキガイシャ</t>
    </rPh>
    <phoneticPr fontId="1"/>
  </si>
  <si>
    <t>https://www.z2024.jp/event-details/nagoya-ses-it-meetup20260723</t>
  </si>
  <si>
    <t>https://www.kokuchpro.com/event/35bf06f48c6dc8ddf06621daf854bcc1/</t>
  </si>
  <si>
    <t xml:space="preserve">株式会社NEXTTECHNOLOGY </t>
    <rPh sb="0" eb="4">
      <t>カブシキガイシャ</t>
    </rPh>
    <phoneticPr fontId="1"/>
  </si>
  <si>
    <t>https://www.kokuchpro.com/event/bef7d8ef736ac4c2a962c4d85777b726/</t>
  </si>
  <si>
    <t>https://www.kokuchpro.com/event/7a7112f5e95b8d6307d3cbd13e6e5359/</t>
  </si>
  <si>
    <t>https://www.kokuchpro.com/event/e1d8e7635538c71212d0c101e5019c75/</t>
  </si>
  <si>
    <t>https://www.kokuchpro.com/event/c1b2f659b50473c8ca0a542517600e73/</t>
  </si>
  <si>
    <t>https://www.kokuchpro.com/event/c3856912042c531fbe3718fa848cc86f/3827186/</t>
  </si>
  <si>
    <t>https://www.kokuchpro.com/event/a6b5ce94ead81bd927117dcb88b68c53/</t>
  </si>
  <si>
    <t>https://www.kokuchpro.com/event/5430a851eaae683e8241b77c0688b701/</t>
  </si>
  <si>
    <t>SES菊川営業交流会</t>
  </si>
  <si>
    <t>https://www.kokuchpro.com/event/5ab464be1d07f3dacb1a4650589b5e23/</t>
  </si>
  <si>
    <t>株式会社プライムハート</t>
    <rPh sb="0" eb="4">
      <t>カブシキガイシャ</t>
    </rPh>
    <phoneticPr fontId="1"/>
  </si>
  <si>
    <t>SEPEX</t>
    <phoneticPr fontId="1"/>
  </si>
  <si>
    <t>株式会社Mamol</t>
    <rPh sb="0" eb="4">
      <t>カブシキガイシャ</t>
    </rPh>
    <phoneticPr fontId="1"/>
  </si>
  <si>
    <t>https://www.kokuchpro.com/event/272ed886eea0f2cb61110fb864dd8ebd/</t>
  </si>
  <si>
    <t>16:00〜17:30</t>
    <phoneticPr fontId="1"/>
  </si>
  <si>
    <t>https://www.kokuchpro.com/event/ses/3849345/</t>
    <phoneticPr fontId="1"/>
  </si>
  <si>
    <t>https://www.kokuchpro.com/event/267c49fa8bf2fbcc63be38c0d6bdddc4/</t>
    <phoneticPr fontId="1"/>
  </si>
  <si>
    <t>16:00～17:30</t>
    <phoneticPr fontId="1"/>
  </si>
  <si>
    <t>こくちーず/HP</t>
    <phoneticPr fontId="1"/>
  </si>
  <si>
    <t>https://www.z2024.jp/event-details/shinjuku-ses-meetup-202608</t>
    <phoneticPr fontId="1"/>
  </si>
  <si>
    <t>https://www.kokuchpro.com/event/a111b1fb830d0e2c3ac185bed474b471/</t>
    <phoneticPr fontId="1"/>
  </si>
  <si>
    <t>乃木坂</t>
    <rPh sb="0" eb="3">
      <t>ノギザカ</t>
    </rPh>
    <phoneticPr fontId="1"/>
  </si>
  <si>
    <t>https://www.kokuchpro.com/event/10e4b65e84984f7fc2d383ac020a98bd/</t>
    <phoneticPr fontId="1"/>
  </si>
  <si>
    <t>東京ビジネス交流会</t>
    <rPh sb="0" eb="2">
      <t>トウキョウ</t>
    </rPh>
    <rPh sb="6" eb="9">
      <t>コウリュウカイ</t>
    </rPh>
    <phoneticPr fontId="1"/>
  </si>
  <si>
    <t>https://www.kokuchpro.com/event/9b09f656c2f43ace22945ddc75dadffc/3861797/</t>
    <phoneticPr fontId="1"/>
  </si>
  <si>
    <t>SES営業向け ビジネス交流</t>
    <phoneticPr fontId="1"/>
  </si>
  <si>
    <t>https://www.kokuchpro.com/event/725c4c4423b7a7f9e28ef3b5898f2ad1/</t>
    <phoneticPr fontId="1"/>
  </si>
  <si>
    <t>10:30〜12:00</t>
    <phoneticPr fontId="1"/>
  </si>
  <si>
    <t>SES情報交換会</t>
    <rPh sb="3" eb="5">
      <t>ジョウホウ</t>
    </rPh>
    <rPh sb="5" eb="7">
      <t>コウカン</t>
    </rPh>
    <rPh sb="7" eb="8">
      <t>カイ</t>
    </rPh>
    <phoneticPr fontId="1"/>
  </si>
  <si>
    <t>株式会社acro-one</t>
    <phoneticPr fontId="1"/>
  </si>
  <si>
    <t>https://www.kokuchpro.com/event/c3032c6fda51467d28964725bb8c9c7c/</t>
    <phoneticPr fontId="1"/>
  </si>
  <si>
    <t>14:00〜15:30</t>
    <phoneticPr fontId="1"/>
  </si>
  <si>
    <t>梅屋敷</t>
    <rPh sb="0" eb="3">
      <t>ウメヤシキ</t>
    </rPh>
    <phoneticPr fontId="1"/>
  </si>
  <si>
    <t>https://www.z2024.jp/event-details/umeyashiki-ses-meetup-202609</t>
    <phoneticPr fontId="1"/>
  </si>
  <si>
    <t>https://www.kokuchpro.com/event/bae1144afddae369142a20e207c0088d/</t>
    <phoneticPr fontId="1"/>
  </si>
  <si>
    <t>https://www.kokuchpro.com/event/revision_260909/</t>
    <phoneticPr fontId="1"/>
  </si>
  <si>
    <t>https://www.kokuchpro.com/event/1db9ec7ef1593882b70dae8b4a6a4197/</t>
    <phoneticPr fontId="1"/>
  </si>
  <si>
    <t>SES事業及びIT関連企業限定交流会</t>
    <phoneticPr fontId="1"/>
  </si>
  <si>
    <t>株式会社テックビズ</t>
    <phoneticPr fontId="1"/>
  </si>
  <si>
    <t>https://www.kokuchpro.com/event/efe3cab6002652312b2bc9834a96c2f1/</t>
    <phoneticPr fontId="1"/>
  </si>
  <si>
    <t>https://www.kokuchpro.com/event/860aefe84bd508a77218f0729b604511/</t>
    <phoneticPr fontId="1"/>
  </si>
  <si>
    <t>株式会社アクア</t>
  </si>
  <si>
    <t>https://www.kokuchpro.com/event/cadaa2f360785f96200016aa2d19374e/</t>
    <phoneticPr fontId="1"/>
  </si>
  <si>
    <t>SESセミナー&amp;交流会</t>
  </si>
  <si>
    <t>https://www.kokuchpro.com/event/e646b2771688bf228b7a37ae0b66c0a3/</t>
    <phoneticPr fontId="1"/>
  </si>
  <si>
    <t>https://www.kokuchpro.com/event/9b09f656c2f43ace22945ddc75dadffc/3851634/</t>
    <phoneticPr fontId="1"/>
  </si>
  <si>
    <t>18:00～19:00</t>
  </si>
  <si>
    <t>八重洲</t>
    <rPh sb="0" eb="3">
      <t>ヤエス</t>
    </rPh>
    <phoneticPr fontId="1"/>
  </si>
  <si>
    <t>https://www.kokuchpro.com/event/2e593f212a44e28d3b7e8834a79a1265/</t>
    <phoneticPr fontId="1"/>
  </si>
  <si>
    <t>京橋</t>
    <rPh sb="0" eb="2">
      <t>キョウバシ</t>
    </rPh>
    <phoneticPr fontId="1"/>
  </si>
  <si>
    <t>AI開発・ツールベンダー向け交流会</t>
  </si>
  <si>
    <t>https://www.kokuchpro.com/event/b956b255b2c5a2ad75479d5b95fa6d5d/</t>
    <phoneticPr fontId="1"/>
  </si>
  <si>
    <t>IT・SES交流会</t>
    <phoneticPr fontId="1"/>
  </si>
  <si>
    <t>https://www.kokuchpro.com/event/0eda976ce6f77998cfe4f56fd4c835db/</t>
    <phoneticPr fontId="1"/>
  </si>
  <si>
    <t>霞が関</t>
    <phoneticPr fontId="1"/>
  </si>
  <si>
    <t>IT/SES企業交流会</t>
    <phoneticPr fontId="1"/>
  </si>
  <si>
    <t>アデコ株式会社 </t>
  </si>
  <si>
    <t>https://www.kokuchpro.com/event/ead6bc8a406b3c2145ab65bc6bf94f0f/</t>
    <phoneticPr fontId="1"/>
  </si>
  <si>
    <t>https://www.z2024.jp/event-details/osaka-ses-it-meetup2609</t>
    <phoneticPr fontId="1"/>
  </si>
  <si>
    <t>ビジネス交流パーティー</t>
    <phoneticPr fontId="1"/>
  </si>
  <si>
    <t>https://www.kokuchpro.com/event/6b3924ccfcdd0e52d162c39cc3011d00/</t>
    <phoneticPr fontId="1"/>
  </si>
  <si>
    <t>13:00〜15:00</t>
  </si>
  <si>
    <t>SES営業・BP開拓担当者交流会</t>
    <phoneticPr fontId="1"/>
  </si>
  <si>
    <t>https://www.kokuchpro.com/event/5ca88ce194fea2f13cd7f4f59b262fb8/</t>
    <phoneticPr fontId="1"/>
  </si>
  <si>
    <t>神谷町</t>
    <rPh sb="0" eb="2">
      <t>カミタニ</t>
    </rPh>
    <rPh sb="2" eb="3">
      <t>マチ</t>
    </rPh>
    <phoneticPr fontId="1"/>
  </si>
  <si>
    <t>https://www.kokuchpro.com/event/875b8cbefacc2a4fd73ccfd3690c32b6/</t>
    <phoneticPr fontId="1"/>
  </si>
  <si>
    <t>18:30～21:00</t>
    <phoneticPr fontId="1"/>
  </si>
  <si>
    <t>https://www.z2024.jp/event-details/sapporo-ses-202609</t>
    <phoneticPr fontId="1"/>
  </si>
  <si>
    <t>https://www.kokuchpro.com/event/2c2ec94d44bb394207abf053c22c0c32/</t>
    <phoneticPr fontId="1"/>
  </si>
  <si>
    <t>https://www.kokuchpro.com/event/9b09f656c2f43ace22945ddc75dadffc/3861799/</t>
    <phoneticPr fontId="1"/>
  </si>
  <si>
    <t>市ヶ谷</t>
    <phoneticPr fontId="1"/>
  </si>
  <si>
    <t>Web・アプリ・業務システム開発ビジネス交流会</t>
    <phoneticPr fontId="1"/>
  </si>
  <si>
    <t>https://www.kokuchpro.com/event/0918_01/</t>
    <phoneticPr fontId="1"/>
  </si>
  <si>
    <t xml:space="preserve">ゲーム・エンタメビジネス交流会 </t>
    <phoneticPr fontId="1"/>
  </si>
  <si>
    <t>https://www.kokuchpro.com/event/sorart0918_2/</t>
    <phoneticPr fontId="1"/>
  </si>
  <si>
    <t>SES営業交流会</t>
    <rPh sb="3" eb="5">
      <t>エイギョウ</t>
    </rPh>
    <phoneticPr fontId="1"/>
  </si>
  <si>
    <t>株式会社アクア</t>
    <rPh sb="0" eb="4">
      <t>カブシキガイシャ</t>
    </rPh>
    <phoneticPr fontId="1"/>
  </si>
  <si>
    <t>https://www.kokuchpro.com/event/ad1407db49e9fe0425bca9ac2d8ef7d9/</t>
    <phoneticPr fontId="1"/>
  </si>
  <si>
    <t>https://www.kokuchpro.com/event/5240d2f440f931181dcfeb9af6d4770d/</t>
    <phoneticPr fontId="1"/>
  </si>
  <si>
    <t>https://www.kokuchpro.com/event/2b9681fb2ccc9e00dd8c5ffbe67631f9/</t>
    <phoneticPr fontId="1"/>
  </si>
  <si>
    <t>https://www.kokuchpro.com/event/9b09f656c2f43ace22945ddc75dadffc/3851636/</t>
    <phoneticPr fontId="1"/>
  </si>
  <si>
    <t>https://www.z2024.jp/event-details/akihabara-ses-202609</t>
    <phoneticPr fontId="1"/>
  </si>
  <si>
    <t>株式会社ダイサン</t>
  </si>
  <si>
    <t>https://www.kokuchpro.com/event/aa810e36fa7227c279632c13616ef598/</t>
    <phoneticPr fontId="1"/>
  </si>
  <si>
    <t>https://www.kokuchpro.com/event/80467a35652665482e4d53ed0e01fdb8/</t>
    <phoneticPr fontId="1"/>
  </si>
  <si>
    <t>https://www.kokuchpro.com/event/4b7bd5c7ffef2bf7880fe7967d41e3cb/</t>
    <phoneticPr fontId="1"/>
  </si>
  <si>
    <t>https://www.kokuchpro.com/event/922d6179c2b6f0766b6090d93aaa33f1/</t>
    <phoneticPr fontId="1"/>
  </si>
  <si>
    <t>16:30〜18:30</t>
  </si>
  <si>
    <t>SES営業3年目以上SES営業向け交流会</t>
    <phoneticPr fontId="1"/>
  </si>
  <si>
    <t>合同会社aciass</t>
  </si>
  <si>
    <t>https://www.kokuchpro.com/event/18252ebb3eb04a315a3714da6f2e7882/</t>
    <phoneticPr fontId="1"/>
  </si>
  <si>
    <t>19:00～21:00</t>
    <phoneticPr fontId="1"/>
  </si>
  <si>
    <t>https://www.z2024.jp/event-details/okinawa-ses-202610</t>
    <phoneticPr fontId="1"/>
  </si>
  <si>
    <t>https://www.kokuchpro.com/event/803c32b0c59aae7df2c607f0fde9d1b9/</t>
    <phoneticPr fontId="1"/>
  </si>
  <si>
    <t>株式会社シンクタンクオブジャパン／zetto</t>
    <rPh sb="0" eb="4">
      <t>カブシキガイシャ</t>
    </rPh>
    <phoneticPr fontId="1"/>
  </si>
  <si>
    <t>SORART</t>
    <phoneticPr fontId="1"/>
  </si>
  <si>
    <t xml:space="preserve">㈱NEXTTECHNOLOGY  </t>
  </si>
  <si>
    <t>https://www.kokuchpro.com/event/1832cc2f128b7767c6cf9a97e03e7840/</t>
  </si>
  <si>
    <t>株式会社ゼネット</t>
  </si>
  <si>
    <t>https://www.kokuchpro.com/event/d9919440c804d7576050a2f3da7b589c/</t>
  </si>
  <si>
    <t xml:space="preserve">株式会社NEXTTECHNOLOGY  </t>
    <rPh sb="0" eb="4">
      <t>カブシキガイシャ</t>
    </rPh>
    <phoneticPr fontId="1"/>
  </si>
  <si>
    <t>市ヶ谷</t>
    <rPh sb="0" eb="3">
      <t>イチガヤ</t>
    </rPh>
    <phoneticPr fontId="1"/>
  </si>
  <si>
    <t>インフラ・SES交流会</t>
  </si>
  <si>
    <t>https://www.kokuchpro.com/event/sora260929/</t>
  </si>
  <si>
    <t>生成AIビジネス交流会</t>
  </si>
  <si>
    <t>株式会社Koinobori</t>
  </si>
  <si>
    <t>https://www.kokuchpro.com/event/c2ee8ea9ee8d411aa750a27e76eccfcd/</t>
  </si>
  <si>
    <t>溜池山王</t>
    <rPh sb="0" eb="4">
      <t>タメイケサンノウ</t>
    </rPh>
    <phoneticPr fontId="1"/>
  </si>
  <si>
    <t>https://www.kokuchpro.com/event/d9acf2177a450e09c8d88f4a40297d64/</t>
  </si>
  <si>
    <t>株式会社アイデンティティー</t>
    <rPh sb="0" eb="4">
      <t>カブシキガイシャ</t>
    </rPh>
    <phoneticPr fontId="1"/>
  </si>
  <si>
    <t>https://www.kokuchpro.com/event/35c2a681f63fce4034c3160866d9f475/3884262/</t>
  </si>
  <si>
    <t xml:space="preserve">受託開発売上UP戦略トークセッション&amp;交流会 </t>
  </si>
  <si>
    <t>https://www.kokuchpro.com/event/752af8969f0ffad03f9bb28881ae29b7/</t>
  </si>
  <si>
    <t>https://www.kokuchpro.com/event/a12dc96bd202c065fcb44cfdf2abd5e0/</t>
  </si>
  <si>
    <t>株式会社クラウドナイン</t>
  </si>
  <si>
    <t>https://www.kokuchpro.com/event/7c6f9023d14dbad9fe86fd2c92d11cab/</t>
  </si>
  <si>
    <t>SESセミナー＆交流会</t>
  </si>
  <si>
    <t>https://www.kokuchpro.com/event/58de0a5f06043b4dc4f49f4b85a62a76/</t>
  </si>
  <si>
    <t>https://www.kokuchpro.com/event/ses_tsudoiB/</t>
  </si>
  <si>
    <t>https://www.z2024.jp/event-details/shinjuku-ses-meetup-202610</t>
  </si>
  <si>
    <t>乃木坂</t>
  </si>
  <si>
    <t>https://www.kokuchpro.com/event/875b8cbefacc2a4fd73ccfd3690c32b6/</t>
  </si>
  <si>
    <t>https://www.kokuchpro.com/event/1c340f8dc8670a2caffde96f7dd9061d/</t>
  </si>
  <si>
    <t>株式会社ポジポジ</t>
  </si>
  <si>
    <t>https://www.kokuchpro.com/event/fc4a9c110e7099495207269049841052/</t>
  </si>
  <si>
    <t>https://www.kokuchpro.com/event/c3856912042c531fbe3718fa848cc86f/3898731/</t>
  </si>
  <si>
    <t>https://www.z2024.jp/event-details/toyochyou-futsal-meetup202610</t>
  </si>
  <si>
    <t>ROSCA株式会社</t>
  </si>
  <si>
    <t>https://www.kokuchpro.com/event/4e43b9d4c97cad5efecda09398f069cc/</t>
  </si>
  <si>
    <t>渋谷SES/ITビジネス交流会</t>
  </si>
  <si>
    <t>https://www.kokuchpro.com/event/4cfea4702383a1db71e91cbcc10abdf3/3881155/</t>
  </si>
  <si>
    <t>QA・ソフトウェアテスト交流会</t>
  </si>
  <si>
    <t>https://www.kokuchpro.com/event/sora_test26/</t>
  </si>
  <si>
    <t>https://www.kokuchpro.com/event/8ca32436774dfe72ff794805b0ff48e2/</t>
  </si>
  <si>
    <t>銀座</t>
    <rPh sb="0" eb="2">
      <t>ギンザ</t>
    </rPh>
    <phoneticPr fontId="1"/>
  </si>
  <si>
    <t>https://www.kokuchpro.com/event/revision_261008/</t>
  </si>
  <si>
    <t>SES交流会/勉強会</t>
    <rPh sb="3" eb="6">
      <t>コウリュウカイ</t>
    </rPh>
    <rPh sb="7" eb="10">
      <t>ベンキョウカイ</t>
    </rPh>
    <phoneticPr fontId="1"/>
  </si>
  <si>
    <t>株式会社テックピット </t>
  </si>
  <si>
    <t>https://www.kokuchpro.com/event/1b80b9efe85a7fd66e25b8fc9cc2ff3f/</t>
  </si>
  <si>
    <t>13:45〜15:00</t>
  </si>
  <si>
    <t>AppTime</t>
  </si>
  <si>
    <t>https://www.kokuchpro.com/event/c6905b69af9823c87463190217ee1cdf/</t>
  </si>
  <si>
    <t>第1回SPC/SES情報交換会</t>
  </si>
  <si>
    <t>株式会社イノベイティア</t>
  </si>
  <si>
    <t>https://www.kokuchpro.com/s/date-20261009/?q=SES%E4%BA%A4%E6%B5%81%E4%BC%9A</t>
  </si>
  <si>
    <t>https://www.kokuchpro.com/event/cd5c44145116de48b3432c2a922c7e30/</t>
  </si>
  <si>
    <t>SESビジネス交流会</t>
    <rPh sb="7" eb="10">
      <t>コウリュウカイ</t>
    </rPh>
    <phoneticPr fontId="1"/>
  </si>
  <si>
    <t>ビート・イット</t>
  </si>
  <si>
    <t>https://www.kokuchpro.com/event/1f9d3d8bf19de6c74358d7d3b0ff59b1/</t>
  </si>
  <si>
    <t>10:15〜12:00</t>
  </si>
  <si>
    <t>株式会社テンプラス</t>
  </si>
  <si>
    <t>https://www.kokuchpro.com/event/282dc594312e40e4364b227841e1c5c2/3881009/</t>
  </si>
  <si>
    <t>WEB、IT、デザイナー、クリエイターさん限定ビジネスマッチング交流会</t>
    <phoneticPr fontId="1"/>
  </si>
  <si>
    <t>https://www.kokuchpro.com/event/bae1144afddae369142a20e207c0088d/</t>
  </si>
  <si>
    <t>三田</t>
    <rPh sb="0" eb="2">
      <t>ミタ</t>
    </rPh>
    <phoneticPr fontId="1"/>
  </si>
  <si>
    <t>SES・IT情報交流会</t>
  </si>
  <si>
    <t>Re Force株式会社</t>
  </si>
  <si>
    <t>https://www.kokuchpro.com/event/8a4ba332e7172f4a54a793e776dc2908/</t>
  </si>
  <si>
    <t>https://www.kokuchpro.com/event/02297807a3842b054ff874bbfa0d18af/</t>
  </si>
  <si>
    <t>https://www.kokuchpro.com/event/5ab464be1d07f3dacb1a4650589b5e23/3898733/</t>
  </si>
  <si>
    <t>https://www.kokuchpro.com/event/418fa971ed66e794ce1ac3956dfcf5b4/</t>
  </si>
  <si>
    <t>https://www.kokuchpro.com/event/751a259d2d84487aae21976c35f65abe/3893742/</t>
  </si>
  <si>
    <t>SkillDB交流会</t>
  </si>
  <si>
    <t>https://www.kokuchpro.com/event/4963c2ff2ddf3b1fd4a426315db46618/</t>
  </si>
  <si>
    <t>株式会社PURGATORIA／Spurs株式会社</t>
    <phoneticPr fontId="1"/>
  </si>
  <si>
    <t>20:00〜21:00</t>
  </si>
  <si>
    <t>東京IT交流会</t>
    <rPh sb="0" eb="2">
      <t>トウキョウ</t>
    </rPh>
    <rPh sb="4" eb="7">
      <t>コウリュウカイ</t>
    </rPh>
    <phoneticPr fontId="1"/>
  </si>
  <si>
    <t>https://www.kokuchpro.com/event/1d232591a471344cf0d5c4825511b348/</t>
  </si>
  <si>
    <t>https://www.z2024.jp/event-details/akihabara-ses-202610</t>
  </si>
  <si>
    <t>https://sepex.jp/</t>
  </si>
  <si>
    <t>https://www.kokuchpro.com/event/0eda976ce6f77998cfe4f56fd4c835db/3898895/</t>
  </si>
  <si>
    <t>https://www.kokuchpro.com/event/c3856912042c531fbe3718fa848cc86f/3899107/</t>
  </si>
  <si>
    <t>https://www.kokuchpro.com/event/revision_261021/</t>
  </si>
  <si>
    <t>https://www.kokuchpro.com/event/2a080f8cdcb36c1ce814076154adcd0e/</t>
  </si>
  <si>
    <t>こむこむ交流会</t>
  </si>
  <si>
    <t>https://www.kokuchpro.com/event/b03506026e994f20c22375bca5cc100a/</t>
  </si>
  <si>
    <t>株式会社アクア  </t>
  </si>
  <si>
    <t>https://www.kokuchpro.com/event/92bd81c7bc4a8047c551f5bdc6102eef/</t>
  </si>
  <si>
    <t>交流会</t>
    <rPh sb="0" eb="3">
      <t>コウリュウカイ</t>
    </rPh>
    <phoneticPr fontId="1"/>
  </si>
  <si>
    <t>https://www.kokuchpro.com/event/a3dddeba1cbcf07676be769643fb5186/</t>
  </si>
  <si>
    <t>https://www.kokuchpro.com/event/511529fb326b50295e89d9aaedc2fee3/</t>
  </si>
  <si>
    <t>SES/ITビジネス交流会</t>
    <rPh sb="10" eb="13">
      <t>コウリュウカイ</t>
    </rPh>
    <phoneticPr fontId="1"/>
  </si>
  <si>
    <t>https://www.kokuchpro.com/event/9b09f656c2f43ace22945ddc75dadffc/3881177/</t>
  </si>
  <si>
    <t>https://www.kokuchpro.com/event/sorart0729/3881690/</t>
  </si>
  <si>
    <t>Qoala</t>
  </si>
  <si>
    <t>https://www.kokuchpro.com/event/qoala_ses_261023/</t>
  </si>
  <si>
    <t>https://www.kokuchpro.com/event/45420573e79a6eb0c790a3b7de4a9fc5/</t>
  </si>
  <si>
    <t>SES営業・BP開拓担当者交流会</t>
    <rPh sb="3" eb="5">
      <t>エイギョウ</t>
    </rPh>
    <rPh sb="8" eb="10">
      <t>カイタク</t>
    </rPh>
    <rPh sb="10" eb="13">
      <t>タントウシャ</t>
    </rPh>
    <rPh sb="13" eb="16">
      <t>コウリュウカイ</t>
    </rPh>
    <phoneticPr fontId="1"/>
  </si>
  <si>
    <t>https://www.kokuchpro.com/event/5ca88ce194fea2f13cd7f4f59b262fb8/3894681/</t>
  </si>
  <si>
    <t>https://www.z2024.jp/event-details/omiya-ses-it-meetup2610</t>
  </si>
  <si>
    <t>Web・アプリ・業務システム開発ビジネス交流会</t>
  </si>
  <si>
    <t>https://www.kokuchpro.com/event/20261027sora/</t>
  </si>
  <si>
    <t>株式会社アジアンビジネスネットワーク／株式会社ラプテック　</t>
    <rPh sb="0" eb="4">
      <t>カブシキガイシャ</t>
    </rPh>
    <rPh sb="19" eb="23">
      <t>カブシキガイシャ</t>
    </rPh>
    <phoneticPr fontId="1"/>
  </si>
  <si>
    <t>https://www.z2024.jp/event-details/shinjuku-ses-meetup-202611</t>
  </si>
  <si>
    <t>株式会社LEGAREA</t>
  </si>
  <si>
    <t>https://www.kokuchpro.com/event/070648a163e63405efd5618c03b58d5e/</t>
  </si>
  <si>
    <t>https://www.kokuchpro.com/event/5f1913fbfdd92ed6428af74892bfff1b/</t>
  </si>
  <si>
    <t>https://www.z2024.jp/event-details/toyochyou-futsal-meetup202611</t>
  </si>
  <si>
    <t>https://www.kokuchpro.com/event/12b10f5c46f08350002f8caef61f1a5b/</t>
  </si>
  <si>
    <t>https://www.z2024.jp/event-details/yokohama-meetup2611</t>
  </si>
  <si>
    <t>https://www.z2024.jp/event-details/sapporo-ses-202611</t>
  </si>
  <si>
    <t>少し早めのIT企業忘年会</t>
  </si>
  <si>
    <t>https://www.kokuchpro.com/event/2a05f207a012bd54833d1ed3d814d129/</t>
  </si>
  <si>
    <t>株式会社セラク</t>
    <rPh sb="0" eb="4">
      <t>カブシキガイシャ</t>
    </rPh>
    <phoneticPr fontId="1"/>
  </si>
  <si>
    <t>https://www.kokuchpro.com/event/4f73e9ba3038672831abc1dc144d4bbe/</t>
  </si>
  <si>
    <t>https://www.z2024.jp/event-details/akihabara-ses-202611</t>
  </si>
  <si>
    <t>https://www.z2024.jp/event-details/nagoya-ses-it-meetup2611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</si>
</sst>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76" formatCode="m/d"/>
    <numFmt numFmtId="177" formatCode="yyyy\-mm\-dd;@"/>
    <numFmt numFmtId="178" formatCode="yyyy/mm/dd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メイリオ"/>
      <family val="3"/>
      <charset val="128"/>
    </font>
    <font>
      <sz val="11"/>
      <color theme="0"/>
      <name val="メイリオ"/>
      <family val="3"/>
      <charset val="128"/>
    </font>
    <font>
      <sz val="11"/>
      <color rgb="FF00B0F0"/>
      <name val="メイリオ"/>
      <family val="3"/>
      <charset val="128"/>
    </font>
    <font>
      <sz val="11"/>
      <name val="メイリオ"/>
      <family val="3"/>
      <charset val="128"/>
    </font>
    <font>
      <u/>
      <sz val="1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hair">
        <color indexed="64"/>
      </right>
      <top style="medium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medium">
        <color indexed="64"/>
      </bottom>
      <diagonal/>
    </border>
    <border>
      <left style="hair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hair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2" fillId="3" borderId="9" xfId="1" applyFill="1" applyBorder="1" applyAlignment="1">
      <alignment vertical="center"/>
    </xf>
    <xf numFmtId="0" fontId="2" fillId="3" borderId="9" xfId="2" applyFill="1" applyBorder="1" applyAlignment="1">
      <alignment vertical="center"/>
    </xf>
    <xf numFmtId="0" fontId="2" fillId="3" borderId="7" xfId="1" applyFill="1" applyBorder="1" applyAlignment="1">
      <alignment vertical="center"/>
    </xf>
    <xf numFmtId="0" fontId="2" fillId="3" borderId="7" xfId="2" applyFill="1" applyBorder="1" applyAlignment="1">
      <alignment vertical="center"/>
    </xf>
    <xf numFmtId="0" fontId="2" fillId="3" borderId="11" xfId="1" applyFill="1" applyBorder="1" applyAlignment="1">
      <alignment vertical="center"/>
    </xf>
    <xf numFmtId="0" fontId="2" fillId="3" borderId="12" xfId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78" fontId="6" fillId="3" borderId="8" xfId="0" applyNumberFormat="1" applyFont="1" applyFill="1" applyBorder="1" applyAlignment="1">
      <alignment vertical="center"/>
    </xf>
    <xf numFmtId="177" fontId="6" fillId="3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right" vertical="center" wrapText="1"/>
    </xf>
    <xf numFmtId="41" fontId="6" fillId="3" borderId="1" xfId="0" applyNumberFormat="1" applyFont="1" applyFill="1" applyBorder="1" applyAlignment="1">
      <alignment horizontal="right" vertical="center" wrapText="1"/>
    </xf>
    <xf numFmtId="3" fontId="6" fillId="3" borderId="2" xfId="0" applyNumberFormat="1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3" fontId="6" fillId="3" borderId="10" xfId="0" applyNumberFormat="1" applyFont="1" applyFill="1" applyBorder="1" applyAlignment="1">
      <alignment horizontal="right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178" fontId="6" fillId="0" borderId="8" xfId="0" applyNumberFormat="1" applyFont="1" applyBorder="1" applyAlignment="1">
      <alignment vertical="center"/>
    </xf>
    <xf numFmtId="177" fontId="6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41" fontId="5" fillId="3" borderId="1" xfId="0" applyNumberFormat="1" applyFont="1" applyFill="1" applyBorder="1" applyAlignment="1">
      <alignment horizontal="righ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9" xfId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7" fillId="0" borderId="9" xfId="2" applyFont="1" applyFill="1" applyBorder="1" applyAlignment="1">
      <alignment vertical="center"/>
    </xf>
    <xf numFmtId="0" fontId="7" fillId="3" borderId="9" xfId="1" applyFont="1" applyFill="1" applyBorder="1" applyAlignment="1">
      <alignment vertical="center"/>
    </xf>
    <xf numFmtId="0" fontId="7" fillId="3" borderId="7" xfId="1" applyFont="1" applyFill="1" applyBorder="1" applyAlignment="1">
      <alignment vertical="center"/>
    </xf>
    <xf numFmtId="0" fontId="7" fillId="3" borderId="14" xfId="1" applyFont="1" applyFill="1" applyBorder="1" applyAlignment="1">
      <alignment vertical="center"/>
    </xf>
    <xf numFmtId="0" fontId="7" fillId="3" borderId="9" xfId="2" applyFont="1" applyFill="1" applyBorder="1" applyAlignment="1">
      <alignment vertical="center"/>
    </xf>
    <xf numFmtId="0" fontId="7" fillId="3" borderId="11" xfId="1" applyFont="1" applyFill="1" applyBorder="1" applyAlignment="1">
      <alignment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 wrapText="1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CCFF"/>
      <color rgb="FFCCEC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2024.jp/event-details/fukuoka-futsal-meetup" TargetMode="External"/><Relationship Id="rId21" Type="http://schemas.openxmlformats.org/officeDocument/2006/relationships/hyperlink" Target="https://kokc.jp/e/0cfaf37caa252e05f87fd0ccd1c8932a/" TargetMode="External"/><Relationship Id="rId42" Type="http://schemas.openxmlformats.org/officeDocument/2006/relationships/hyperlink" Target="https://www.kokuchpro.com/event/c3856912042c531fbe3718fa848cc86f/3566523/" TargetMode="External"/><Relationship Id="rId63" Type="http://schemas.openxmlformats.org/officeDocument/2006/relationships/hyperlink" Target="https://www.kokuchpro.com/event/revision_260122/" TargetMode="External"/><Relationship Id="rId84" Type="http://schemas.openxmlformats.org/officeDocument/2006/relationships/hyperlink" Target="https://free-ses-exchangemeeting.com/" TargetMode="External"/><Relationship Id="rId138" Type="http://schemas.openxmlformats.org/officeDocument/2006/relationships/hyperlink" Target="https://www.kokuchpro.com/event/ses_osaka/3747844/" TargetMode="External"/><Relationship Id="rId159" Type="http://schemas.openxmlformats.org/officeDocument/2006/relationships/hyperlink" Target="https://www.kokuchpro.com/event/36e6a3203b62457bb761cbbb57cf2674/3754050/" TargetMode="External"/><Relationship Id="rId170" Type="http://schemas.openxmlformats.org/officeDocument/2006/relationships/hyperlink" Target="https://www.kokuchpro.com/event/267c49fa8bf2fbcc63be38c0d6bdddc4/" TargetMode="External"/><Relationship Id="rId191" Type="http://schemas.openxmlformats.org/officeDocument/2006/relationships/hyperlink" Target="https://www.kokuchpro.com/event/ead6bc8a406b3c2145ab65bc6bf94f0f/" TargetMode="External"/><Relationship Id="rId205" Type="http://schemas.openxmlformats.org/officeDocument/2006/relationships/hyperlink" Target="https://www.kokuchpro.com/event/bae1144afddae369142a20e207c0088d/" TargetMode="External"/><Relationship Id="rId107" Type="http://schemas.openxmlformats.org/officeDocument/2006/relationships/hyperlink" Target="https://www.kokuchpro.com/event/a9e680c3b9ed8444d3f0f966a497605b/" TargetMode="External"/><Relationship Id="rId11" Type="http://schemas.openxmlformats.org/officeDocument/2006/relationships/hyperlink" Target="https://www.cloud-hub.org/guest_event" TargetMode="External"/><Relationship Id="rId32" Type="http://schemas.openxmlformats.org/officeDocument/2006/relationships/hyperlink" Target="https://www.kokuchpro.com/event/maimaidejirabo_1/" TargetMode="External"/><Relationship Id="rId53" Type="http://schemas.openxmlformats.org/officeDocument/2006/relationships/hyperlink" Target="https://www.kokuchpro.com/event/b39e600ae18033a289fe9b7d2e02eca0/" TargetMode="External"/><Relationship Id="rId74" Type="http://schemas.openxmlformats.org/officeDocument/2006/relationships/hyperlink" Target="https://www.kokuchpro.com/event/eb3bc223be591b7e6e474af3154f691a/" TargetMode="External"/><Relationship Id="rId128" Type="http://schemas.openxmlformats.org/officeDocument/2006/relationships/hyperlink" Target="https://www.kokuchpro.com/event/41931d42a126f682f6055f37b4cc3bc9/" TargetMode="External"/><Relationship Id="rId149" Type="http://schemas.openxmlformats.org/officeDocument/2006/relationships/hyperlink" Target="https://www.kokuchpro.com/event/d678b33da181501ba3b25b8844df0365/" TargetMode="External"/><Relationship Id="rId5" Type="http://schemas.openxmlformats.org/officeDocument/2006/relationships/hyperlink" Target="https://www.kokuchpro.com/event/423834ffa82af34848b1240d63beda9d/" TargetMode="External"/><Relationship Id="rId95" Type="http://schemas.openxmlformats.org/officeDocument/2006/relationships/hyperlink" Target="https://www.kokuchpro.com/event/f0a8c63772fbe7de5974e587f8f46233/" TargetMode="External"/><Relationship Id="rId160" Type="http://schemas.openxmlformats.org/officeDocument/2006/relationships/hyperlink" Target="https://www.kokuchpro.com/event/17a91949cd0ea31cfc19ad9b276d6608/" TargetMode="External"/><Relationship Id="rId181" Type="http://schemas.openxmlformats.org/officeDocument/2006/relationships/hyperlink" Target="https://www.kokuchpro.com/event/c3032c6fda51467d28964725bb8c9c7c/" TargetMode="External"/><Relationship Id="rId22" Type="http://schemas.openxmlformats.org/officeDocument/2006/relationships/hyperlink" Target="https://kokc.jp/e/54d931bd568375093802f00cc094c051/" TargetMode="External"/><Relationship Id="rId43" Type="http://schemas.openxmlformats.org/officeDocument/2006/relationships/hyperlink" Target="https://www.kokuchpro.com/event/bfe3d5f375b240b4d7b5f2585a786d0e/" TargetMode="External"/><Relationship Id="rId64" Type="http://schemas.openxmlformats.org/officeDocument/2006/relationships/hyperlink" Target="https://www.kokuchpro.com/event/ses/3608251/" TargetMode="External"/><Relationship Id="rId118" Type="http://schemas.openxmlformats.org/officeDocument/2006/relationships/hyperlink" Target="https://www.z2024.jp/event-details/okinawa-ses-it-meetup-2026" TargetMode="External"/><Relationship Id="rId139" Type="http://schemas.openxmlformats.org/officeDocument/2006/relationships/hyperlink" Target="https://www.z2024.jp/event-details/nagoya-ses-it-meetup" TargetMode="External"/><Relationship Id="rId85" Type="http://schemas.openxmlformats.org/officeDocument/2006/relationships/hyperlink" Target="https://www.kokuchpro.com/event/3a192e4b748970d05ff1bb83dd49a2be/" TargetMode="External"/><Relationship Id="rId150" Type="http://schemas.openxmlformats.org/officeDocument/2006/relationships/hyperlink" Target="https://www.kokuchpro.com/event/5d8dcff6ff96ba4a7a4b5cdede1b2b2c/" TargetMode="External"/><Relationship Id="rId171" Type="http://schemas.openxmlformats.org/officeDocument/2006/relationships/hyperlink" Target="https://www.kokuchpro.com/event/860aefe84bd508a77218f0729b604511/" TargetMode="External"/><Relationship Id="rId192" Type="http://schemas.openxmlformats.org/officeDocument/2006/relationships/hyperlink" Target="https://www.kokuchpro.com/event/aa810e36fa7227c279632c13616ef598/" TargetMode="External"/><Relationship Id="rId206" Type="http://schemas.openxmlformats.org/officeDocument/2006/relationships/hyperlink" Target="https://www.z2024.jp/event-details/okinawa-ses-202610" TargetMode="External"/><Relationship Id="rId12" Type="http://schemas.openxmlformats.org/officeDocument/2006/relationships/hyperlink" Target="https://www.cloud-hub.org/guest_event" TargetMode="External"/><Relationship Id="rId33" Type="http://schemas.openxmlformats.org/officeDocument/2006/relationships/hyperlink" Target="https://www.kokuchpro.com/event/1c0a1e1c571a85ff05890182eedfa9c6/" TargetMode="External"/><Relationship Id="rId108" Type="http://schemas.openxmlformats.org/officeDocument/2006/relationships/hyperlink" Target="https://www.kokuchpro.com/event/e7a91cfee076f995a1d612125a66e29b/" TargetMode="External"/><Relationship Id="rId129" Type="http://schemas.openxmlformats.org/officeDocument/2006/relationships/hyperlink" Target="https://www.kokuchpro.com/event/9c9c57fff1d3c2636e83f9e6465c3509/3752673/" TargetMode="External"/><Relationship Id="rId54" Type="http://schemas.openxmlformats.org/officeDocument/2006/relationships/hyperlink" Target="https://www.kokuchpro.com/event/f52698b9fd4884d4c3424f1dcf7318df/" TargetMode="External"/><Relationship Id="rId75" Type="http://schemas.openxmlformats.org/officeDocument/2006/relationships/hyperlink" Target="https://www.kokuchpro.com/event/fb6a6e2f11c509c066d02ffda54721c4/" TargetMode="External"/><Relationship Id="rId96" Type="http://schemas.openxmlformats.org/officeDocument/2006/relationships/hyperlink" Target="https://www.kokuchpro.com/event/futsal_meetup/" TargetMode="External"/><Relationship Id="rId140" Type="http://schemas.openxmlformats.org/officeDocument/2006/relationships/hyperlink" Target="https://www.z2024.jp/event-details/osaka-ses-it-meetup" TargetMode="External"/><Relationship Id="rId161" Type="http://schemas.openxmlformats.org/officeDocument/2006/relationships/hyperlink" Target="https://www.kokuchpro.com/event/8758c39b783b0310689fcd4470a40a6e/" TargetMode="External"/><Relationship Id="rId182" Type="http://schemas.openxmlformats.org/officeDocument/2006/relationships/hyperlink" Target="https://www.kokuchpro.com/event/efe3cab6002652312b2bc9834a96c2f1/" TargetMode="External"/><Relationship Id="rId6" Type="http://schemas.openxmlformats.org/officeDocument/2006/relationships/hyperlink" Target="https://www.kokuchpro.com/event/0c93dc4e30d6c41073f77cfe0fb7e5f9/3422362/" TargetMode="External"/><Relationship Id="rId23" Type="http://schemas.openxmlformats.org/officeDocument/2006/relationships/hyperlink" Target="https://www.kokuchpro.com/event/c8dc0f39e45a39ddca0ee7ee5cc3669c/" TargetMode="External"/><Relationship Id="rId119" Type="http://schemas.openxmlformats.org/officeDocument/2006/relationships/hyperlink" Target="https://www.kokuchpro.com/event/5acecea94e41dc4557c3b146b378cc51/" TargetMode="External"/><Relationship Id="rId44" Type="http://schemas.openxmlformats.org/officeDocument/2006/relationships/hyperlink" Target="https://www.kokuchpro.com/event/cd449533fd2472d788e53b68b14e099f/" TargetMode="External"/><Relationship Id="rId65" Type="http://schemas.openxmlformats.org/officeDocument/2006/relationships/hyperlink" Target="https://qube-q.com/public/events/830" TargetMode="External"/><Relationship Id="rId86" Type="http://schemas.openxmlformats.org/officeDocument/2006/relationships/hyperlink" Target="https://www.kokuchpro.com/event/60ad3ff748e15117eecdf0921aae36b1/" TargetMode="External"/><Relationship Id="rId130" Type="http://schemas.openxmlformats.org/officeDocument/2006/relationships/hyperlink" Target="https://www.kokuchpro.com/event/a0031d7291e98cb96d62ba4ba0dbe80e/" TargetMode="External"/><Relationship Id="rId151" Type="http://schemas.openxmlformats.org/officeDocument/2006/relationships/hyperlink" Target="https://www.kokuchpro.com/event/860f00a78a0ba574a14882c1f0fcf65c/" TargetMode="External"/><Relationship Id="rId172" Type="http://schemas.openxmlformats.org/officeDocument/2006/relationships/hyperlink" Target="https://www.kokuchpro.com/event/2c2ec94d44bb394207abf053c22c0c32/" TargetMode="External"/><Relationship Id="rId193" Type="http://schemas.openxmlformats.org/officeDocument/2006/relationships/hyperlink" Target="https://www.kokuchpro.com/event/a111b1fb830d0e2c3ac185bed474b471/" TargetMode="External"/><Relationship Id="rId207" Type="http://schemas.openxmlformats.org/officeDocument/2006/relationships/printerSettings" Target="../printerSettings/printerSettings1.bin"/><Relationship Id="rId13" Type="http://schemas.openxmlformats.org/officeDocument/2006/relationships/hyperlink" Target="https://www.cloud-hub.org/guest_event" TargetMode="External"/><Relationship Id="rId109" Type="http://schemas.openxmlformats.org/officeDocument/2006/relationships/hyperlink" Target="https://www.kokuchpro.com/event/2ea30109f3cb960ebc28a7c65a4c2286/" TargetMode="External"/><Relationship Id="rId34" Type="http://schemas.openxmlformats.org/officeDocument/2006/relationships/hyperlink" Target="https://www.kokuchpro.com/event/fc3991f9d71f5066713c8b2f81866564/3491989/" TargetMode="External"/><Relationship Id="rId55" Type="http://schemas.openxmlformats.org/officeDocument/2006/relationships/hyperlink" Target="https://www.kokuchpro.com/event/ses_futsal/" TargetMode="External"/><Relationship Id="rId76" Type="http://schemas.openxmlformats.org/officeDocument/2006/relationships/hyperlink" Target="https://kokc.jp/e/fukuoka_ses/" TargetMode="External"/><Relationship Id="rId97" Type="http://schemas.openxmlformats.org/officeDocument/2006/relationships/hyperlink" Target="https://www.kokuchpro.com/event/ses_osaka/3555264/" TargetMode="External"/><Relationship Id="rId120" Type="http://schemas.openxmlformats.org/officeDocument/2006/relationships/hyperlink" Target="https://www.kokuchpro.com/event/7521601b746d14e85118a8191641ff39/" TargetMode="External"/><Relationship Id="rId141" Type="http://schemas.openxmlformats.org/officeDocument/2006/relationships/hyperlink" Target="https://www.kokuchpro.com/event/5ab1db93490f22d69298e1b8b2a02fb8/" TargetMode="External"/><Relationship Id="rId7" Type="http://schemas.openxmlformats.org/officeDocument/2006/relationships/hyperlink" Target="https://www.kokuchpro.com/event/cdcf2ca2328aa1b859fb762d915748b7/" TargetMode="External"/><Relationship Id="rId162" Type="http://schemas.openxmlformats.org/officeDocument/2006/relationships/hyperlink" Target="https://www.kokuchpro.com/event/253f266854c610d02464a7e5248503fb/" TargetMode="External"/><Relationship Id="rId183" Type="http://schemas.openxmlformats.org/officeDocument/2006/relationships/hyperlink" Target="https://www.kokuchpro.com/event/725c4c4423b7a7f9e28ef3b5898f2ad1/" TargetMode="External"/><Relationship Id="rId24" Type="http://schemas.openxmlformats.org/officeDocument/2006/relationships/hyperlink" Target="https://www.kokuchpro.com/event/01bbd108b1a8aa8c7dcddf5afbe85bef/3493676/" TargetMode="External"/><Relationship Id="rId40" Type="http://schemas.openxmlformats.org/officeDocument/2006/relationships/hyperlink" Target="https://www.kokuchpro.com/event/92c705f14f779c3b406789d011fdab02/" TargetMode="External"/><Relationship Id="rId45" Type="http://schemas.openxmlformats.org/officeDocument/2006/relationships/hyperlink" Target="https://www.kokuchpro.com/event/c56586a1d676bcc462c1c39a0c2b1613/" TargetMode="External"/><Relationship Id="rId66" Type="http://schemas.openxmlformats.org/officeDocument/2006/relationships/hyperlink" Target="https://www.kokuchpro.com/event/e4121dfb255142766fa358606c7e9af5/" TargetMode="External"/><Relationship Id="rId87" Type="http://schemas.openxmlformats.org/officeDocument/2006/relationships/hyperlink" Target="https://www.kokuchpro.com/event/ses_akihabara/" TargetMode="External"/><Relationship Id="rId110" Type="http://schemas.openxmlformats.org/officeDocument/2006/relationships/hyperlink" Target="https://www.kokuchpro.com/event/b7fb8fb3542de2cdc9a6cdbdb50e8baf/" TargetMode="External"/><Relationship Id="rId115" Type="http://schemas.openxmlformats.org/officeDocument/2006/relationships/hyperlink" Target="https://www.kokuchpro.com/event/f8768bcbf1fdfdf6622b1bd7af249773/" TargetMode="External"/><Relationship Id="rId131" Type="http://schemas.openxmlformats.org/officeDocument/2006/relationships/hyperlink" Target="https://www.kokuchpro.com/event/0a62c02f792357bfed775f95c2cd5003/" TargetMode="External"/><Relationship Id="rId136" Type="http://schemas.openxmlformats.org/officeDocument/2006/relationships/hyperlink" Target="https://www.z2024.jp/event-details/machida-ses-it-202605" TargetMode="External"/><Relationship Id="rId157" Type="http://schemas.openxmlformats.org/officeDocument/2006/relationships/hyperlink" Target="https://www.kokuchpro.com/event/b2a9706c54c83342535261c8d5dca180/3754023/" TargetMode="External"/><Relationship Id="rId178" Type="http://schemas.openxmlformats.org/officeDocument/2006/relationships/hyperlink" Target="https://www.z2024.jp/event-details/sapporo-ses-202609" TargetMode="External"/><Relationship Id="rId61" Type="http://schemas.openxmlformats.org/officeDocument/2006/relationships/hyperlink" Target="https://www.kokuchpro.com/event/038ec91d3fb32450768abbcbe01d9227/3618054/" TargetMode="External"/><Relationship Id="rId82" Type="http://schemas.openxmlformats.org/officeDocument/2006/relationships/hyperlink" Target="https://www.kokuchpro.com/event/5e285b217a7d7e64b23423cb72484c72/" TargetMode="External"/><Relationship Id="rId152" Type="http://schemas.openxmlformats.org/officeDocument/2006/relationships/hyperlink" Target="https://www.kokuchpro.com/event/b2a9706c54c83342535261c8d5dca180/3754013/" TargetMode="External"/><Relationship Id="rId173" Type="http://schemas.openxmlformats.org/officeDocument/2006/relationships/hyperlink" Target="https://www.z2024.jp/event-details/umeyashiki-ses-meetup-202609" TargetMode="External"/><Relationship Id="rId194" Type="http://schemas.openxmlformats.org/officeDocument/2006/relationships/hyperlink" Target="https://www.kokuchpro.com/event/10e4b65e84984f7fc2d383ac020a98bd/" TargetMode="External"/><Relationship Id="rId199" Type="http://schemas.openxmlformats.org/officeDocument/2006/relationships/hyperlink" Target="https://www.kokuchpro.com/event/4b7bd5c7ffef2bf7880fe7967d41e3cb/" TargetMode="External"/><Relationship Id="rId203" Type="http://schemas.openxmlformats.org/officeDocument/2006/relationships/hyperlink" Target="https://www.kokuchpro.com/event/80467a35652665482e4d53ed0e01fdb8/" TargetMode="External"/><Relationship Id="rId19" Type="http://schemas.openxmlformats.org/officeDocument/2006/relationships/hyperlink" Target="https://www.kokuchpro.com/event/0ba79fa6efc9efcc4b1a08bfce42f174/" TargetMode="External"/><Relationship Id="rId14" Type="http://schemas.openxmlformats.org/officeDocument/2006/relationships/hyperlink" Target="https://www.cloud-hub.org/guest_event" TargetMode="External"/><Relationship Id="rId30" Type="http://schemas.openxmlformats.org/officeDocument/2006/relationships/hyperlink" Target="https://kokc.jp/e/7f0739b2f0713204170a2a3abd1276b5/" TargetMode="External"/><Relationship Id="rId35" Type="http://schemas.openxmlformats.org/officeDocument/2006/relationships/hyperlink" Target="https://www.kokuchpro.com/event/fff8a436582c036f0425ad7d20c00bb3/" TargetMode="External"/><Relationship Id="rId56" Type="http://schemas.openxmlformats.org/officeDocument/2006/relationships/hyperlink" Target="https://www.kokuchpro.com/event/923fda8caa2c013839fcc13237053ea9/" TargetMode="External"/><Relationship Id="rId77" Type="http://schemas.openxmlformats.org/officeDocument/2006/relationships/hyperlink" Target="https://www.kokuchpro.com/event/funabashi_ses_meetup/" TargetMode="External"/><Relationship Id="rId100" Type="http://schemas.openxmlformats.org/officeDocument/2006/relationships/hyperlink" Target="https://www.kokuchpro.com/event/0f05d2427e924290a3a4e6a092218fa8/" TargetMode="External"/><Relationship Id="rId105" Type="http://schemas.openxmlformats.org/officeDocument/2006/relationships/hyperlink" Target="https://www.kokuchpro.com/event/b5d745a6d1103c4dc0ef3cf5fffd1738/" TargetMode="External"/><Relationship Id="rId126" Type="http://schemas.openxmlformats.org/officeDocument/2006/relationships/hyperlink" Target="https://www.z2024.jp/event-details/sapporo-ses-202605" TargetMode="External"/><Relationship Id="rId147" Type="http://schemas.openxmlformats.org/officeDocument/2006/relationships/hyperlink" Target="https://www.kokuchpro.com/event/revision_260520/" TargetMode="External"/><Relationship Id="rId168" Type="http://schemas.openxmlformats.org/officeDocument/2006/relationships/hyperlink" Target="https://www.kokuchpro.com/event/18252ebb3eb04a315a3714da6f2e7882/" TargetMode="External"/><Relationship Id="rId8" Type="http://schemas.openxmlformats.org/officeDocument/2006/relationships/hyperlink" Target="https://www.kokuchpro.com/event/7f884af352600ba6a237b279d690fc27/3465110/" TargetMode="External"/><Relationship Id="rId51" Type="http://schemas.openxmlformats.org/officeDocument/2006/relationships/hyperlink" Target="https://forms.gle/axr2ffvRA3jxtQiLA" TargetMode="External"/><Relationship Id="rId72" Type="http://schemas.openxmlformats.org/officeDocument/2006/relationships/hyperlink" Target="https://www.kokuchpro.com/event/ses/3645992/" TargetMode="External"/><Relationship Id="rId93" Type="http://schemas.openxmlformats.org/officeDocument/2006/relationships/hyperlink" Target="https://www.kokuchpro.com/event/ee76c44aa0dfbfe8fee640e997cb07d8/" TargetMode="External"/><Relationship Id="rId98" Type="http://schemas.openxmlformats.org/officeDocument/2006/relationships/hyperlink" Target="https://www.z2024.jp/event-details/shibuya-ses-202604" TargetMode="External"/><Relationship Id="rId121" Type="http://schemas.openxmlformats.org/officeDocument/2006/relationships/hyperlink" Target="https://www.kokuchpro.com/event/ec725c0670a5700c21472e42743675a1/" TargetMode="External"/><Relationship Id="rId142" Type="http://schemas.openxmlformats.org/officeDocument/2006/relationships/hyperlink" Target="https://www.kokuchpro.com/event/7eb1c2b9b043ae3755ac10e8e3f5eb50/" TargetMode="External"/><Relationship Id="rId163" Type="http://schemas.openxmlformats.org/officeDocument/2006/relationships/hyperlink" Target="https://www.kokuchpro.com/event/ae1358460ac8060360f1b87df474198c/" TargetMode="External"/><Relationship Id="rId184" Type="http://schemas.openxmlformats.org/officeDocument/2006/relationships/hyperlink" Target="https://www.kokuchpro.com/event/0eda976ce6f77998cfe4f56fd4c835db/" TargetMode="External"/><Relationship Id="rId189" Type="http://schemas.openxmlformats.org/officeDocument/2006/relationships/hyperlink" Target="https://www.kokuchpro.com/event/9b09f656c2f43ace22945ddc75dadffc/3861797/" TargetMode="External"/><Relationship Id="rId3" Type="http://schemas.openxmlformats.org/officeDocument/2006/relationships/hyperlink" Target="https://www.kokuchpro.com/event/c3856912042c531fbe3718fa848cc86f/3462678/" TargetMode="External"/><Relationship Id="rId25" Type="http://schemas.openxmlformats.org/officeDocument/2006/relationships/hyperlink" Target="https://kokc.jp/e/07718de16bd0e77bd755eb6fc9f2395b/" TargetMode="External"/><Relationship Id="rId46" Type="http://schemas.openxmlformats.org/officeDocument/2006/relationships/hyperlink" Target="https://www.kokuchpro.com/event/48244982781a392a366cbb2ec3db0c8d/" TargetMode="External"/><Relationship Id="rId67" Type="http://schemas.openxmlformats.org/officeDocument/2006/relationships/hyperlink" Target="https://www.kokuchpro.com/event/3ef11c925022b36341830ec9137e2f44/" TargetMode="External"/><Relationship Id="rId116" Type="http://schemas.openxmlformats.org/officeDocument/2006/relationships/hyperlink" Target="https://www.kokuchpro.com/event/revision_260422/" TargetMode="External"/><Relationship Id="rId137" Type="http://schemas.openxmlformats.org/officeDocument/2006/relationships/hyperlink" Target="https://www.z2024.jp/event-details/akihabara-ses-202605" TargetMode="External"/><Relationship Id="rId158" Type="http://schemas.openxmlformats.org/officeDocument/2006/relationships/hyperlink" Target="https://www.kokuchpro.com/event/b2a9706c54c83342535261c8d5dca180/3754023/" TargetMode="External"/><Relationship Id="rId20" Type="http://schemas.openxmlformats.org/officeDocument/2006/relationships/hyperlink" Target="https://www.kokuchpro.com/event/c3856912042c531fbe3718fa848cc86f/3486169/" TargetMode="External"/><Relationship Id="rId41" Type="http://schemas.openxmlformats.org/officeDocument/2006/relationships/hyperlink" Target="https://www.kokuchpro.com/event/56be063186f1242d7ed284322502e11b/" TargetMode="External"/><Relationship Id="rId62" Type="http://schemas.openxmlformats.org/officeDocument/2006/relationships/hyperlink" Target="https://www.kokuchpro.com/event/c3856912042c531fbe3718fa848cc86f/3645926/" TargetMode="External"/><Relationship Id="rId83" Type="http://schemas.openxmlformats.org/officeDocument/2006/relationships/hyperlink" Target="https://www.kokuchpro.com/event/revision_260218/" TargetMode="External"/><Relationship Id="rId88" Type="http://schemas.openxmlformats.org/officeDocument/2006/relationships/hyperlink" Target="https://www.kokuchpro.com/event/4233f7ae3f5ee8162492ae04159c96f0/3708211/" TargetMode="External"/><Relationship Id="rId111" Type="http://schemas.openxmlformats.org/officeDocument/2006/relationships/hyperlink" Target="https://www.kokuchpro.com/event/8e6178a1fbb69fab1969e1cdfd924332/" TargetMode="External"/><Relationship Id="rId132" Type="http://schemas.openxmlformats.org/officeDocument/2006/relationships/hyperlink" Target="https://www.kokuchpro.com/event/itma104/" TargetMode="External"/><Relationship Id="rId153" Type="http://schemas.openxmlformats.org/officeDocument/2006/relationships/hyperlink" Target="https://www.kokuchpro.com/event/b2a9706c54c83342535261c8d5dca180/3754019/" TargetMode="External"/><Relationship Id="rId174" Type="http://schemas.openxmlformats.org/officeDocument/2006/relationships/hyperlink" Target="https://www.kokuchpro.com/event/6b3924ccfcdd0e52d162c39cc3011d00/" TargetMode="External"/><Relationship Id="rId179" Type="http://schemas.openxmlformats.org/officeDocument/2006/relationships/hyperlink" Target="https://www.z2024.jp/event-details/shinjuku-ses-meetup-202608" TargetMode="External"/><Relationship Id="rId195" Type="http://schemas.openxmlformats.org/officeDocument/2006/relationships/hyperlink" Target="https://www.kokuchpro.com/event/e646b2771688bf228b7a37ae0b66c0a3/" TargetMode="External"/><Relationship Id="rId190" Type="http://schemas.openxmlformats.org/officeDocument/2006/relationships/hyperlink" Target="https://www.kokuchpro.com/event/9b09f656c2f43ace22945ddc75dadffc/3861799/" TargetMode="External"/><Relationship Id="rId204" Type="http://schemas.openxmlformats.org/officeDocument/2006/relationships/hyperlink" Target="https://www.kokuchpro.com/event/ad1407db49e9fe0425bca9ac2d8ef7d9/" TargetMode="External"/><Relationship Id="rId15" Type="http://schemas.openxmlformats.org/officeDocument/2006/relationships/hyperlink" Target="https://www.cloud-hub.org/guest_event" TargetMode="External"/><Relationship Id="rId36" Type="http://schemas.openxmlformats.org/officeDocument/2006/relationships/hyperlink" Target="https://www.kokuchpro.com/event/038ec91d3fb32450768abbcbe01d9227/3485553/" TargetMode="External"/><Relationship Id="rId57" Type="http://schemas.openxmlformats.org/officeDocument/2006/relationships/hyperlink" Target="https://www.kokuchpro.com/event/ses_osaka/3555264/" TargetMode="External"/><Relationship Id="rId106" Type="http://schemas.openxmlformats.org/officeDocument/2006/relationships/hyperlink" Target="https://www.kokuchpro.com/event/b39fac966f01497f42528add6c58fcde/" TargetMode="External"/><Relationship Id="rId127" Type="http://schemas.openxmlformats.org/officeDocument/2006/relationships/hyperlink" Target="https://www.kokuchpro.com/event/c3856912042c531fbe3718fa848cc86f/3760902/" TargetMode="External"/><Relationship Id="rId10" Type="http://schemas.openxmlformats.org/officeDocument/2006/relationships/hyperlink" Target="https://www.kokuchpro.com/event/877e15fa86875852d9ce562a53e02efb/" TargetMode="External"/><Relationship Id="rId31" Type="http://schemas.openxmlformats.org/officeDocument/2006/relationships/hyperlink" Target="https://www.kokuchpro.com/event/addc2d61c6ee712f3c451ff8395697bb/" TargetMode="External"/><Relationship Id="rId52" Type="http://schemas.openxmlformats.org/officeDocument/2006/relationships/hyperlink" Target="https://www.kokuchpro.com/event/ses/3586907/" TargetMode="External"/><Relationship Id="rId73" Type="http://schemas.openxmlformats.org/officeDocument/2006/relationships/hyperlink" Target="https://www.kokuchpro.com/event/c9980971224d59b043f1011e2790d4c0/" TargetMode="External"/><Relationship Id="rId78" Type="http://schemas.openxmlformats.org/officeDocument/2006/relationships/hyperlink" Target="https://www.kokuchpro.com/event/omiya_ses_meetup/" TargetMode="External"/><Relationship Id="rId94" Type="http://schemas.openxmlformats.org/officeDocument/2006/relationships/hyperlink" Target="https://www.kokuchpro.com/event/9ddcca7478600e0a8e41e81fa4311238/" TargetMode="External"/><Relationship Id="rId99" Type="http://schemas.openxmlformats.org/officeDocument/2006/relationships/hyperlink" Target="https://www.kokuchpro.com/event/ikebukuro_ses_meetup/" TargetMode="External"/><Relationship Id="rId101" Type="http://schemas.openxmlformats.org/officeDocument/2006/relationships/hyperlink" Target="https://www.kokuchpro.com/event/c7d46c084dce8eff57d9b97c34da0611/" TargetMode="External"/><Relationship Id="rId122" Type="http://schemas.openxmlformats.org/officeDocument/2006/relationships/hyperlink" Target="https://www.kokuchpro.com/event/fb8ccac84dbc2dfab14458a1f36799ee/" TargetMode="External"/><Relationship Id="rId143" Type="http://schemas.openxmlformats.org/officeDocument/2006/relationships/hyperlink" Target="https://www.kokuchpro.com/event/06028bc5d4d5fca04c6a3efa90a1fd3d/" TargetMode="External"/><Relationship Id="rId148" Type="http://schemas.openxmlformats.org/officeDocument/2006/relationships/hyperlink" Target="https://www.kokuchpro.com/event/751a259d2d84487aae21976c35f65abe/3769899/" TargetMode="External"/><Relationship Id="rId164" Type="http://schemas.openxmlformats.org/officeDocument/2006/relationships/hyperlink" Target="https://www.kokuchpro.com/event/100333c5d3e06048f9e23294804999e4/" TargetMode="External"/><Relationship Id="rId169" Type="http://schemas.openxmlformats.org/officeDocument/2006/relationships/hyperlink" Target="https://www.kokuchpro.com/event/revision_260909/" TargetMode="External"/><Relationship Id="rId185" Type="http://schemas.openxmlformats.org/officeDocument/2006/relationships/hyperlink" Target="https://www.kokuchpro.com/event/0918_01/" TargetMode="External"/><Relationship Id="rId4" Type="http://schemas.openxmlformats.org/officeDocument/2006/relationships/hyperlink" Target="https://www.kokuchpro.com/event/c3856912042c531fbe3718fa848cc86f/3462679/" TargetMode="External"/><Relationship Id="rId9" Type="http://schemas.openxmlformats.org/officeDocument/2006/relationships/hyperlink" Target="https://www.kokuchpro.com/event/fe845736b61074874f6c5c1f59352e91/" TargetMode="External"/><Relationship Id="rId180" Type="http://schemas.openxmlformats.org/officeDocument/2006/relationships/hyperlink" Target="https://www.kokuchpro.com/event/ses/3849345/" TargetMode="External"/><Relationship Id="rId26" Type="http://schemas.openxmlformats.org/officeDocument/2006/relationships/hyperlink" Target="https://www.kokuchpro.com/event/5161d2c715fccf1a60ca8acdfcae57cf/" TargetMode="External"/><Relationship Id="rId47" Type="http://schemas.openxmlformats.org/officeDocument/2006/relationships/hyperlink" Target="https://www.kokuchpro.com/event/038ec91d3fb32450768abbcbe01d9227/3576193/" TargetMode="External"/><Relationship Id="rId68" Type="http://schemas.openxmlformats.org/officeDocument/2006/relationships/hyperlink" Target="https://www.kokuchpro.com/event/c02bce838e8c45022fd59d6b18e0f672/" TargetMode="External"/><Relationship Id="rId89" Type="http://schemas.openxmlformats.org/officeDocument/2006/relationships/hyperlink" Target="https://www.kokuchpro.com/event/yokohama_ses/" TargetMode="External"/><Relationship Id="rId112" Type="http://schemas.openxmlformats.org/officeDocument/2006/relationships/hyperlink" Target="https://www.z2024.jp/event-details/akihabara-ses-202604" TargetMode="External"/><Relationship Id="rId133" Type="http://schemas.openxmlformats.org/officeDocument/2006/relationships/hyperlink" Target="https://www.kokuchpro.com/event/b6b8087bbfb5445b8256e1ffc58e7e8b/" TargetMode="External"/><Relationship Id="rId154" Type="http://schemas.openxmlformats.org/officeDocument/2006/relationships/hyperlink" Target="https://www.kokuchpro.com/event/36e6a3203b62457bb761cbbb57cf2674/3754050/" TargetMode="External"/><Relationship Id="rId175" Type="http://schemas.openxmlformats.org/officeDocument/2006/relationships/hyperlink" Target="https://www.z2024.jp/event-details/osaka-ses-it-meetup2609" TargetMode="External"/><Relationship Id="rId196" Type="http://schemas.openxmlformats.org/officeDocument/2006/relationships/hyperlink" Target="https://www.kokuchpro.com/event/2e593f212a44e28d3b7e8834a79a1265/" TargetMode="External"/><Relationship Id="rId200" Type="http://schemas.openxmlformats.org/officeDocument/2006/relationships/hyperlink" Target="https://www.kokuchpro.com/event/b956b255b2c5a2ad75479d5b95fa6d5d/" TargetMode="External"/><Relationship Id="rId16" Type="http://schemas.openxmlformats.org/officeDocument/2006/relationships/hyperlink" Target="https://www.kokuchpro.com/event/0c93dc4e30d6c41073f77cfe0fb7e5f9/3427475/" TargetMode="External"/><Relationship Id="rId37" Type="http://schemas.openxmlformats.org/officeDocument/2006/relationships/hyperlink" Target="https://www.kokuchpro.com/event/b4d927214560aa011ee20edcbdd2653b/" TargetMode="External"/><Relationship Id="rId58" Type="http://schemas.openxmlformats.org/officeDocument/2006/relationships/hyperlink" Target="https://www.kokuchpro.com/event/e3f50e99909aa0451fdd731792939abd/" TargetMode="External"/><Relationship Id="rId79" Type="http://schemas.openxmlformats.org/officeDocument/2006/relationships/hyperlink" Target="https://www.kokuchpro.com/event/662b03e5421f94979e940721699319e7/" TargetMode="External"/><Relationship Id="rId102" Type="http://schemas.openxmlformats.org/officeDocument/2006/relationships/hyperlink" Target="https://www.kokuchpro.com/event/ses/3733946/" TargetMode="External"/><Relationship Id="rId123" Type="http://schemas.openxmlformats.org/officeDocument/2006/relationships/hyperlink" Target="https://www.kokuchpro.com/event/17a91949cd0ea31cfc19ad9b276d6608/" TargetMode="External"/><Relationship Id="rId144" Type="http://schemas.openxmlformats.org/officeDocument/2006/relationships/hyperlink" Target="https://www.kokuchpro.com/event/ec725c0670a5700c21472e42743675a1/" TargetMode="External"/><Relationship Id="rId90" Type="http://schemas.openxmlformats.org/officeDocument/2006/relationships/hyperlink" Target="https://www.kokuchpro.com/event/9c7d3fa12c4682751a8f5ea5d7b27275/" TargetMode="External"/><Relationship Id="rId165" Type="http://schemas.openxmlformats.org/officeDocument/2006/relationships/hyperlink" Target="https://www.kokuchpro.com/event/1db9ec7ef1593882b70dae8b4a6a4197/" TargetMode="External"/><Relationship Id="rId186" Type="http://schemas.openxmlformats.org/officeDocument/2006/relationships/hyperlink" Target="https://www.kokuchpro.com/event/5ca88ce194fea2f13cd7f4f59b262fb8/" TargetMode="External"/><Relationship Id="rId27" Type="http://schemas.openxmlformats.org/officeDocument/2006/relationships/hyperlink" Target="https://www.kokuchpro.com/event/5ec7d622085105edb070cfc993f5113e/" TargetMode="External"/><Relationship Id="rId48" Type="http://schemas.openxmlformats.org/officeDocument/2006/relationships/hyperlink" Target="https://kokc.jp/e/17b6ff8fce5ecc8d457220220dcd02c0/" TargetMode="External"/><Relationship Id="rId69" Type="http://schemas.openxmlformats.org/officeDocument/2006/relationships/hyperlink" Target="https://www.kokuchpro.com/event/sten1/3651785/" TargetMode="External"/><Relationship Id="rId113" Type="http://schemas.openxmlformats.org/officeDocument/2006/relationships/hyperlink" Target="https://www.kokuchpro.com/event/5882cb8aca3ce7f43ece11cf6b02d267/" TargetMode="External"/><Relationship Id="rId134" Type="http://schemas.openxmlformats.org/officeDocument/2006/relationships/hyperlink" Target="https://www.kokuchpro.com/event/ses/3760161/" TargetMode="External"/><Relationship Id="rId80" Type="http://schemas.openxmlformats.org/officeDocument/2006/relationships/hyperlink" Target="https://kokc.jp/e/c0825974e14750275b888d48faeadfcf/" TargetMode="External"/><Relationship Id="rId155" Type="http://schemas.openxmlformats.org/officeDocument/2006/relationships/hyperlink" Target="https://www.kokuchpro.com/event/36e6a3203b62457bb761cbbb57cf2674/3754052/" TargetMode="External"/><Relationship Id="rId176" Type="http://schemas.openxmlformats.org/officeDocument/2006/relationships/hyperlink" Target="https://www.kokuchpro.com/event/sorart0918_2/" TargetMode="External"/><Relationship Id="rId197" Type="http://schemas.openxmlformats.org/officeDocument/2006/relationships/hyperlink" Target="https://www.kokuchpro.com/event/5240d2f440f931181dcfeb9af6d4770d/" TargetMode="External"/><Relationship Id="rId201" Type="http://schemas.openxmlformats.org/officeDocument/2006/relationships/hyperlink" Target="https://www.kokuchpro.com/event/cadaa2f360785f96200016aa2d19374e/" TargetMode="External"/><Relationship Id="rId17" Type="http://schemas.openxmlformats.org/officeDocument/2006/relationships/hyperlink" Target="https://www.kokuchpro.com/event/c53980206dc0480b87a729108f8fab91/" TargetMode="External"/><Relationship Id="rId38" Type="http://schemas.openxmlformats.org/officeDocument/2006/relationships/hyperlink" Target="https://www.kokuchpro.com/event/7537c25445b6115008c0b55255f38fb2/" TargetMode="External"/><Relationship Id="rId59" Type="http://schemas.openxmlformats.org/officeDocument/2006/relationships/hyperlink" Target="https://www.kokuchpro.com/event/102e78061398afc0cee736cdd3f6c6a0/" TargetMode="External"/><Relationship Id="rId103" Type="http://schemas.openxmlformats.org/officeDocument/2006/relationships/hyperlink" Target="https://www.kokuchpro.com/event/b2a9706c54c83342535261c8d5dca180/3680551/" TargetMode="External"/><Relationship Id="rId124" Type="http://schemas.openxmlformats.org/officeDocument/2006/relationships/hyperlink" Target="https://www.kokuchpro.com/event/2633ecca081fb41e1da7061f9e8a3101/3747443/" TargetMode="External"/><Relationship Id="rId70" Type="http://schemas.openxmlformats.org/officeDocument/2006/relationships/hyperlink" Target="https://www.z2024.jp/event-details/akihabara-ses-meetup-202602" TargetMode="External"/><Relationship Id="rId91" Type="http://schemas.openxmlformats.org/officeDocument/2006/relationships/hyperlink" Target="https://www.kokuchpro.com/event/9c9c57fff1d3c2636e83f9e6465c3509/3704644/" TargetMode="External"/><Relationship Id="rId145" Type="http://schemas.openxmlformats.org/officeDocument/2006/relationships/hyperlink" Target="https://www.kokuchpro.com/event/ikebukuro_b_meetup/" TargetMode="External"/><Relationship Id="rId166" Type="http://schemas.openxmlformats.org/officeDocument/2006/relationships/hyperlink" Target="https://www.kokuchpro.com/event/9b09f656c2f43ace22945ddc75dadffc/3851634/" TargetMode="External"/><Relationship Id="rId187" Type="http://schemas.openxmlformats.org/officeDocument/2006/relationships/hyperlink" Target="https://www.kokuchpro.com/event/922d6179c2b6f0766b6090d93aaa33f1/" TargetMode="External"/><Relationship Id="rId1" Type="http://schemas.openxmlformats.org/officeDocument/2006/relationships/hyperlink" Target="https://kokc.jp/e/fc3991f9d71f5066713c8b2f81866564/" TargetMode="External"/><Relationship Id="rId28" Type="http://schemas.openxmlformats.org/officeDocument/2006/relationships/hyperlink" Target="https://www.kokuchpro.com/event/17002265ea42685dc72c94ccb8856e64/" TargetMode="External"/><Relationship Id="rId49" Type="http://schemas.openxmlformats.org/officeDocument/2006/relationships/hyperlink" Target="https://www.kokuchpro.com/event/9b7f9f249e4f7f02d29c1ccc032a8173/" TargetMode="External"/><Relationship Id="rId114" Type="http://schemas.openxmlformats.org/officeDocument/2006/relationships/hyperlink" Target="https://www.z2024.jp/event-details/fukuoka-ses-202604" TargetMode="External"/><Relationship Id="rId60" Type="http://schemas.openxmlformats.org/officeDocument/2006/relationships/hyperlink" Target="https://kokc.jp/e/4233f7ae3f5ee8162492ae04159c96f0/" TargetMode="External"/><Relationship Id="rId81" Type="http://schemas.openxmlformats.org/officeDocument/2006/relationships/hyperlink" Target="https://www.kokuchpro.com/event/a3970e508c62a6e3a8d4f59ed651b3c5/" TargetMode="External"/><Relationship Id="rId135" Type="http://schemas.openxmlformats.org/officeDocument/2006/relationships/hyperlink" Target="https://www.kokuchpro.com/event/3948bfc19024d64ec97e5361b2eadcf0/" TargetMode="External"/><Relationship Id="rId156" Type="http://schemas.openxmlformats.org/officeDocument/2006/relationships/hyperlink" Target="https://www.kokuchpro.com/event/b2a9706c54c83342535261c8d5dca180/3754020/" TargetMode="External"/><Relationship Id="rId177" Type="http://schemas.openxmlformats.org/officeDocument/2006/relationships/hyperlink" Target="https://www.z2024.jp/event-details/akihabara-ses-202609" TargetMode="External"/><Relationship Id="rId198" Type="http://schemas.openxmlformats.org/officeDocument/2006/relationships/hyperlink" Target="https://www.kokuchpro.com/event/2b9681fb2ccc9e00dd8c5ffbe67631f9/" TargetMode="External"/><Relationship Id="rId202" Type="http://schemas.openxmlformats.org/officeDocument/2006/relationships/hyperlink" Target="https://www.kokuchpro.com/event/875b8cbefacc2a4fd73ccfd3690c32b6/" TargetMode="External"/><Relationship Id="rId18" Type="http://schemas.openxmlformats.org/officeDocument/2006/relationships/hyperlink" Target="https://www.kokuchpro.com/event/bc855bb43cc34e9b0fe185c187a4ad4c/3474020/" TargetMode="External"/><Relationship Id="rId39" Type="http://schemas.openxmlformats.org/officeDocument/2006/relationships/hyperlink" Target="https://www.kokuchpro.com/event/aa580d2153a65ad30938240afb8b7611/" TargetMode="External"/><Relationship Id="rId50" Type="http://schemas.openxmlformats.org/officeDocument/2006/relationships/hyperlink" Target="https://kokc.jp/e/6a11c283a302ffe66ff5093dbc2326f0/" TargetMode="External"/><Relationship Id="rId104" Type="http://schemas.openxmlformats.org/officeDocument/2006/relationships/hyperlink" Target="https://www.kokuchpro.com/event/14c11692f0482e4b7eba0d15b7f8e4b2/" TargetMode="External"/><Relationship Id="rId125" Type="http://schemas.openxmlformats.org/officeDocument/2006/relationships/hyperlink" Target="https://www.kokuchpro.com/event/cce76703af60042acbf9ef6332933793/" TargetMode="External"/><Relationship Id="rId146" Type="http://schemas.openxmlformats.org/officeDocument/2006/relationships/hyperlink" Target="https://www.kokuchpro.com/event/0bc7365760124d6f6bb0b93305e90baa/" TargetMode="External"/><Relationship Id="rId167" Type="http://schemas.openxmlformats.org/officeDocument/2006/relationships/hyperlink" Target="https://www.kokuchpro.com/event/9b09f656c2f43ace22945ddc75dadffc/3851636/" TargetMode="External"/><Relationship Id="rId188" Type="http://schemas.openxmlformats.org/officeDocument/2006/relationships/hyperlink" Target="https://www.kokuchpro.com/event/803c32b0c59aae7df2c607f0fde9d1b9/" TargetMode="External"/><Relationship Id="rId71" Type="http://schemas.openxmlformats.org/officeDocument/2006/relationships/hyperlink" Target="https://kokc.jp/e/shinjuku_ses_2026/" TargetMode="External"/><Relationship Id="rId92" Type="http://schemas.openxmlformats.org/officeDocument/2006/relationships/hyperlink" Target="https://www.kokuchpro.com/event/1eb0a1b37d3f17bf1d115daa0814cdf9/" TargetMode="External"/><Relationship Id="rId2" Type="http://schemas.openxmlformats.org/officeDocument/2006/relationships/hyperlink" Target="https://itnomikai.com/" TargetMode="External"/><Relationship Id="rId29" Type="http://schemas.openxmlformats.org/officeDocument/2006/relationships/hyperlink" Target="https://kokc.jp/e/b05d6cb5f6502e2515688d0657c910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0"/>
  <sheetViews>
    <sheetView showGridLines="0" tabSelected="1" view="pageBreakPreview" zoomScaleNormal="100" zoomScaleSheetLayoutView="100" workbookViewId="0">
      <pane ySplit="2" topLeftCell="A567" activePane="bottomLeft" state="frozen"/>
      <selection pane="bottomLeft" activeCell="E568" sqref="E568"/>
    </sheetView>
  </sheetViews>
  <sheetFormatPr defaultColWidth="8.7109375" defaultRowHeight="18"/>
  <cols>
    <col min="1" max="1" width="12.7109375" style="16" bestFit="1" customWidth="1"/>
    <col min="2" max="2" width="3.5703125" style="17" bestFit="1" customWidth="1"/>
    <col min="3" max="3" width="15.2109375" style="18" bestFit="1" customWidth="1"/>
    <col min="4" max="4" width="9.2109375" style="18" bestFit="1" customWidth="1"/>
    <col min="5" max="5" width="9.35546875" style="19" bestFit="1" customWidth="1"/>
    <col min="6" max="6" width="47.35546875" style="20" bestFit="1" customWidth="1"/>
    <col min="7" max="7" width="52.85546875" style="20" bestFit="1" customWidth="1"/>
    <col min="8" max="8" width="8.7109375" style="21" bestFit="1" customWidth="1"/>
    <col min="9" max="9" width="3.92578125" style="22" customWidth="1"/>
    <col min="10" max="10" width="8.78515625" style="5" customWidth="1"/>
    <col min="11" max="11" width="20.5703125" style="1" customWidth="1"/>
    <col min="12" max="12" width="9.0703125" style="1" bestFit="1" customWidth="1"/>
    <col min="13" max="16384" width="8.7109375" style="1"/>
  </cols>
  <sheetData>
    <row r="1" spans="1:11" ht="18.45" thickBot="1">
      <c r="A1" s="16" t="s">
        <v>581</v>
      </c>
      <c r="B1" s="17" t="s">
        <v>583</v>
      </c>
      <c r="C1" s="18" t="s">
        <v>582</v>
      </c>
      <c r="D1" s="18" t="s">
        <v>492</v>
      </c>
      <c r="E1" s="19" t="s">
        <v>493</v>
      </c>
      <c r="F1" s="20" t="s">
        <v>494</v>
      </c>
      <c r="G1" s="20" t="s">
        <v>495</v>
      </c>
      <c r="H1" s="21" t="s">
        <v>496</v>
      </c>
      <c r="I1" s="22" t="s">
        <v>583</v>
      </c>
      <c r="J1" s="5" t="s">
        <v>583</v>
      </c>
    </row>
    <row r="2" spans="1:11" ht="18.45" thickBot="1">
      <c r="A2" s="75" t="s">
        <v>0</v>
      </c>
      <c r="B2" s="76"/>
      <c r="C2" s="23" t="s">
        <v>1</v>
      </c>
      <c r="D2" s="23" t="s">
        <v>2</v>
      </c>
      <c r="E2" s="23" t="s">
        <v>3</v>
      </c>
      <c r="F2" s="24" t="s">
        <v>4</v>
      </c>
      <c r="G2" s="24" t="s">
        <v>5</v>
      </c>
      <c r="H2" s="24" t="s">
        <v>6</v>
      </c>
      <c r="I2" s="25" t="s">
        <v>7</v>
      </c>
      <c r="J2" s="2" t="s">
        <v>8</v>
      </c>
      <c r="K2" s="46"/>
    </row>
    <row r="3" spans="1:11" ht="18.45">
      <c r="A3" s="26">
        <v>45908</v>
      </c>
      <c r="B3" s="27" t="str">
        <f t="shared" ref="B3" si="0">TEXT(A3,"aaa")</f>
        <v>月</v>
      </c>
      <c r="C3" s="28" t="s">
        <v>189</v>
      </c>
      <c r="D3" s="28" t="s">
        <v>190</v>
      </c>
      <c r="E3" s="29">
        <v>55</v>
      </c>
      <c r="F3" s="30" t="s">
        <v>194</v>
      </c>
      <c r="G3" s="30" t="s">
        <v>196</v>
      </c>
      <c r="H3" s="31">
        <v>0</v>
      </c>
      <c r="I3" s="28" t="s">
        <v>193</v>
      </c>
      <c r="J3" s="6" t="s">
        <v>192</v>
      </c>
      <c r="K3" s="1" t="s">
        <v>800</v>
      </c>
    </row>
    <row r="4" spans="1:11" ht="18.45">
      <c r="A4" s="26">
        <v>45908</v>
      </c>
      <c r="B4" s="27"/>
      <c r="C4" s="28" t="s">
        <v>100</v>
      </c>
      <c r="D4" s="28" t="s">
        <v>89</v>
      </c>
      <c r="E4" s="29">
        <v>60</v>
      </c>
      <c r="F4" s="30" t="s">
        <v>13</v>
      </c>
      <c r="G4" s="30" t="s">
        <v>574</v>
      </c>
      <c r="H4" s="31">
        <v>0</v>
      </c>
      <c r="I4" s="28" t="s">
        <v>9</v>
      </c>
      <c r="J4" s="7" t="s">
        <v>90</v>
      </c>
      <c r="K4" s="1" t="s">
        <v>800</v>
      </c>
    </row>
    <row r="5" spans="1:11" ht="18.45">
      <c r="A5" s="26">
        <v>45909</v>
      </c>
      <c r="B5" s="27" t="str">
        <f t="shared" ref="B5" si="1">TEXT(A5,"aaa")</f>
        <v>火</v>
      </c>
      <c r="C5" s="28" t="s">
        <v>91</v>
      </c>
      <c r="D5" s="28" t="s">
        <v>92</v>
      </c>
      <c r="E5" s="29">
        <v>50</v>
      </c>
      <c r="F5" s="30" t="s">
        <v>93</v>
      </c>
      <c r="G5" s="30" t="s">
        <v>94</v>
      </c>
      <c r="H5" s="31">
        <v>0</v>
      </c>
      <c r="I5" s="28" t="s">
        <v>9</v>
      </c>
      <c r="J5" s="7" t="s">
        <v>95</v>
      </c>
      <c r="K5" s="1" t="s">
        <v>800</v>
      </c>
    </row>
    <row r="6" spans="1:11" ht="18.45">
      <c r="A6" s="26">
        <v>45909</v>
      </c>
      <c r="B6" s="27"/>
      <c r="C6" s="28" t="s">
        <v>91</v>
      </c>
      <c r="D6" s="28" t="s">
        <v>96</v>
      </c>
      <c r="E6" s="29">
        <v>8</v>
      </c>
      <c r="F6" s="30" t="s">
        <v>97</v>
      </c>
      <c r="G6" s="30" t="s">
        <v>98</v>
      </c>
      <c r="H6" s="31">
        <v>0</v>
      </c>
      <c r="I6" s="28" t="s">
        <v>9</v>
      </c>
      <c r="J6" s="7" t="s">
        <v>99</v>
      </c>
      <c r="K6" s="1" t="s">
        <v>800</v>
      </c>
    </row>
    <row r="7" spans="1:11" ht="18.45">
      <c r="A7" s="26">
        <v>45909</v>
      </c>
      <c r="B7" s="27"/>
      <c r="C7" s="28" t="s">
        <v>12</v>
      </c>
      <c r="D7" s="28" t="s">
        <v>24</v>
      </c>
      <c r="E7" s="29">
        <v>50</v>
      </c>
      <c r="F7" s="30" t="s">
        <v>13</v>
      </c>
      <c r="G7" s="30" t="s">
        <v>14</v>
      </c>
      <c r="H7" s="31">
        <v>3000</v>
      </c>
      <c r="I7" s="28" t="s">
        <v>31</v>
      </c>
      <c r="J7" s="7" t="s">
        <v>23</v>
      </c>
      <c r="K7" s="1" t="s">
        <v>800</v>
      </c>
    </row>
    <row r="8" spans="1:11" ht="18.45">
      <c r="A8" s="26">
        <v>45909</v>
      </c>
      <c r="B8" s="27"/>
      <c r="C8" s="28" t="s">
        <v>47</v>
      </c>
      <c r="D8" s="28" t="s">
        <v>16</v>
      </c>
      <c r="E8" s="29">
        <v>40</v>
      </c>
      <c r="F8" s="30" t="s">
        <v>39</v>
      </c>
      <c r="G8" s="30" t="s">
        <v>48</v>
      </c>
      <c r="H8" s="32">
        <v>3000</v>
      </c>
      <c r="I8" s="28" t="s">
        <v>9</v>
      </c>
      <c r="J8" s="7" t="s">
        <v>79</v>
      </c>
      <c r="K8" s="1" t="s">
        <v>800</v>
      </c>
    </row>
    <row r="9" spans="1:11" ht="18.45">
      <c r="A9" s="26">
        <v>45910</v>
      </c>
      <c r="B9" s="27" t="str">
        <f t="shared" ref="B9:B53" si="2">TEXT(A9,"aaa")</f>
        <v>水</v>
      </c>
      <c r="C9" s="28" t="s">
        <v>101</v>
      </c>
      <c r="D9" s="28" t="s">
        <v>75</v>
      </c>
      <c r="E9" s="29">
        <v>30</v>
      </c>
      <c r="F9" s="30" t="s">
        <v>77</v>
      </c>
      <c r="G9" s="30" t="s">
        <v>585</v>
      </c>
      <c r="H9" s="31">
        <v>0</v>
      </c>
      <c r="I9" s="28" t="s">
        <v>9</v>
      </c>
      <c r="J9" s="7" t="s">
        <v>102</v>
      </c>
      <c r="K9" s="1" t="s">
        <v>800</v>
      </c>
    </row>
    <row r="10" spans="1:11" ht="18.45">
      <c r="A10" s="26">
        <v>45910</v>
      </c>
      <c r="B10" s="27"/>
      <c r="C10" s="28" t="s">
        <v>145</v>
      </c>
      <c r="D10" s="28" t="s">
        <v>148</v>
      </c>
      <c r="E10" s="29">
        <v>25</v>
      </c>
      <c r="F10" s="30" t="s">
        <v>146</v>
      </c>
      <c r="G10" s="30" t="s">
        <v>147</v>
      </c>
      <c r="H10" s="31">
        <v>0</v>
      </c>
      <c r="I10" s="28" t="s">
        <v>9</v>
      </c>
      <c r="J10" s="6" t="s">
        <v>149</v>
      </c>
      <c r="K10" s="1" t="s">
        <v>800</v>
      </c>
    </row>
    <row r="11" spans="1:11" ht="18.45">
      <c r="A11" s="26">
        <v>45910</v>
      </c>
      <c r="B11" s="27"/>
      <c r="C11" s="28" t="s">
        <v>197</v>
      </c>
      <c r="D11" s="28" t="s">
        <v>188</v>
      </c>
      <c r="E11" s="29"/>
      <c r="F11" s="30" t="s">
        <v>198</v>
      </c>
      <c r="G11" s="30" t="s">
        <v>196</v>
      </c>
      <c r="H11" s="31">
        <v>0</v>
      </c>
      <c r="I11" s="28" t="s">
        <v>193</v>
      </c>
      <c r="J11" s="6" t="s">
        <v>192</v>
      </c>
      <c r="K11" s="1" t="s">
        <v>800</v>
      </c>
    </row>
    <row r="12" spans="1:11" ht="18.45">
      <c r="A12" s="26">
        <v>45910</v>
      </c>
      <c r="B12" s="27"/>
      <c r="C12" s="28" t="s">
        <v>22</v>
      </c>
      <c r="D12" s="28" t="s">
        <v>50</v>
      </c>
      <c r="E12" s="29"/>
      <c r="F12" s="30" t="s">
        <v>51</v>
      </c>
      <c r="G12" s="30" t="s">
        <v>584</v>
      </c>
      <c r="H12" s="31">
        <v>0</v>
      </c>
      <c r="I12" s="28" t="s">
        <v>31</v>
      </c>
      <c r="J12" s="7" t="s">
        <v>32</v>
      </c>
      <c r="K12" s="1" t="s">
        <v>800</v>
      </c>
    </row>
    <row r="13" spans="1:11" ht="18.45">
      <c r="A13" s="26">
        <v>45910</v>
      </c>
      <c r="B13" s="27"/>
      <c r="C13" s="28" t="s">
        <v>103</v>
      </c>
      <c r="D13" s="28" t="s">
        <v>104</v>
      </c>
      <c r="E13" s="29">
        <v>100</v>
      </c>
      <c r="F13" s="30" t="s">
        <v>26</v>
      </c>
      <c r="G13" s="30" t="s">
        <v>105</v>
      </c>
      <c r="H13" s="31">
        <v>0</v>
      </c>
      <c r="I13" s="28" t="s">
        <v>9</v>
      </c>
      <c r="J13" s="7" t="s">
        <v>106</v>
      </c>
      <c r="K13" s="1" t="s">
        <v>800</v>
      </c>
    </row>
    <row r="14" spans="1:11" ht="18.45">
      <c r="A14" s="26">
        <v>45910</v>
      </c>
      <c r="B14" s="27"/>
      <c r="C14" s="28" t="s">
        <v>138</v>
      </c>
      <c r="D14" s="28" t="s">
        <v>139</v>
      </c>
      <c r="E14" s="29"/>
      <c r="F14" s="30" t="s">
        <v>140</v>
      </c>
      <c r="G14" s="30" t="s">
        <v>587</v>
      </c>
      <c r="H14" s="33">
        <v>5000</v>
      </c>
      <c r="I14" s="28" t="s">
        <v>31</v>
      </c>
      <c r="J14" s="6" t="s">
        <v>142</v>
      </c>
      <c r="K14" s="1" t="s">
        <v>800</v>
      </c>
    </row>
    <row r="15" spans="1:11" ht="18.45">
      <c r="A15" s="26">
        <v>45911</v>
      </c>
      <c r="B15" s="27" t="str">
        <f t="shared" si="2"/>
        <v>木</v>
      </c>
      <c r="C15" s="28" t="s">
        <v>44</v>
      </c>
      <c r="D15" s="28" t="s">
        <v>40</v>
      </c>
      <c r="E15" s="29">
        <v>200</v>
      </c>
      <c r="F15" s="30" t="s">
        <v>41</v>
      </c>
      <c r="G15" s="30" t="s">
        <v>42</v>
      </c>
      <c r="H15" s="31">
        <v>0</v>
      </c>
      <c r="I15" s="28" t="s">
        <v>9</v>
      </c>
      <c r="J15" s="7" t="s">
        <v>43</v>
      </c>
      <c r="K15" s="1" t="s">
        <v>800</v>
      </c>
    </row>
    <row r="16" spans="1:11" ht="18.45">
      <c r="A16" s="26">
        <v>45911</v>
      </c>
      <c r="B16" s="27"/>
      <c r="C16" s="28" t="s">
        <v>199</v>
      </c>
      <c r="D16" s="28" t="s">
        <v>187</v>
      </c>
      <c r="E16" s="29"/>
      <c r="F16" s="30" t="s">
        <v>200</v>
      </c>
      <c r="G16" s="30" t="s">
        <v>196</v>
      </c>
      <c r="H16" s="31">
        <v>0</v>
      </c>
      <c r="I16" s="28" t="s">
        <v>193</v>
      </c>
      <c r="J16" s="6" t="s">
        <v>192</v>
      </c>
      <c r="K16" s="1" t="s">
        <v>800</v>
      </c>
    </row>
    <row r="17" spans="1:11" ht="18.45">
      <c r="A17" s="26">
        <v>45911</v>
      </c>
      <c r="B17" s="27"/>
      <c r="C17" s="28" t="s">
        <v>201</v>
      </c>
      <c r="D17" s="28" t="s">
        <v>202</v>
      </c>
      <c r="E17" s="29"/>
      <c r="F17" s="30" t="s">
        <v>203</v>
      </c>
      <c r="G17" s="30" t="s">
        <v>196</v>
      </c>
      <c r="H17" s="33">
        <v>5000</v>
      </c>
      <c r="I17" s="28" t="s">
        <v>193</v>
      </c>
      <c r="J17" s="6" t="s">
        <v>192</v>
      </c>
      <c r="K17" s="1" t="s">
        <v>800</v>
      </c>
    </row>
    <row r="18" spans="1:11" ht="18.45">
      <c r="A18" s="26">
        <v>45911</v>
      </c>
      <c r="B18" s="27"/>
      <c r="C18" s="28" t="s">
        <v>37</v>
      </c>
      <c r="D18" s="28" t="s">
        <v>16</v>
      </c>
      <c r="E18" s="29">
        <v>35</v>
      </c>
      <c r="F18" s="30" t="s">
        <v>62</v>
      </c>
      <c r="G18" s="30" t="s">
        <v>17</v>
      </c>
      <c r="H18" s="31">
        <v>0</v>
      </c>
      <c r="I18" s="28" t="s">
        <v>9</v>
      </c>
      <c r="J18" s="7" t="s">
        <v>63</v>
      </c>
      <c r="K18" s="1" t="s">
        <v>800</v>
      </c>
    </row>
    <row r="19" spans="1:11" ht="18.45">
      <c r="A19" s="26">
        <v>45911</v>
      </c>
      <c r="B19" s="27"/>
      <c r="C19" s="28" t="s">
        <v>66</v>
      </c>
      <c r="D19" s="28" t="s">
        <v>38</v>
      </c>
      <c r="E19" s="29">
        <v>50</v>
      </c>
      <c r="F19" s="30" t="s">
        <v>15</v>
      </c>
      <c r="G19" s="30" t="s">
        <v>64</v>
      </c>
      <c r="H19" s="31">
        <v>3000</v>
      </c>
      <c r="I19" s="28" t="s">
        <v>9</v>
      </c>
      <c r="J19" s="7" t="s">
        <v>65</v>
      </c>
      <c r="K19" s="1" t="s">
        <v>800</v>
      </c>
    </row>
    <row r="20" spans="1:11" ht="18.45">
      <c r="A20" s="26">
        <v>45911</v>
      </c>
      <c r="B20" s="27"/>
      <c r="C20" s="34" t="s">
        <v>107</v>
      </c>
      <c r="D20" s="34" t="s">
        <v>38</v>
      </c>
      <c r="E20" s="35">
        <v>30</v>
      </c>
      <c r="F20" s="36" t="s">
        <v>108</v>
      </c>
      <c r="G20" s="36" t="s">
        <v>109</v>
      </c>
      <c r="H20" s="37">
        <v>0</v>
      </c>
      <c r="I20" s="34" t="s">
        <v>9</v>
      </c>
      <c r="J20" s="7" t="s">
        <v>110</v>
      </c>
      <c r="K20" s="1" t="s">
        <v>800</v>
      </c>
    </row>
    <row r="21" spans="1:11" ht="18.45">
      <c r="A21" s="26">
        <v>45912</v>
      </c>
      <c r="B21" s="27" t="str">
        <f t="shared" ref="B21" si="3">TEXT(A21,"aaa")</f>
        <v>金</v>
      </c>
      <c r="C21" s="28" t="s">
        <v>164</v>
      </c>
      <c r="D21" s="28" t="s">
        <v>167</v>
      </c>
      <c r="E21" s="29">
        <v>5</v>
      </c>
      <c r="F21" s="30" t="s">
        <v>181</v>
      </c>
      <c r="G21" s="30" t="s">
        <v>165</v>
      </c>
      <c r="H21" s="31">
        <v>0</v>
      </c>
      <c r="I21" s="28" t="s">
        <v>9</v>
      </c>
      <c r="J21" s="6" t="s">
        <v>180</v>
      </c>
      <c r="K21" s="1" t="s">
        <v>800</v>
      </c>
    </row>
    <row r="22" spans="1:11" ht="18.45">
      <c r="A22" s="26">
        <v>45912</v>
      </c>
      <c r="B22" s="27"/>
      <c r="C22" s="28" t="s">
        <v>204</v>
      </c>
      <c r="D22" s="28" t="s">
        <v>205</v>
      </c>
      <c r="E22" s="29">
        <v>40</v>
      </c>
      <c r="F22" s="30" t="s">
        <v>206</v>
      </c>
      <c r="G22" s="30" t="s">
        <v>196</v>
      </c>
      <c r="H22" s="31">
        <v>0</v>
      </c>
      <c r="I22" s="28" t="s">
        <v>193</v>
      </c>
      <c r="J22" s="6" t="s">
        <v>192</v>
      </c>
      <c r="K22" s="1" t="s">
        <v>800</v>
      </c>
    </row>
    <row r="23" spans="1:11" ht="18.45">
      <c r="A23" s="26">
        <v>45912</v>
      </c>
      <c r="B23" s="27"/>
      <c r="C23" s="38" t="s">
        <v>12</v>
      </c>
      <c r="D23" s="38" t="s">
        <v>70</v>
      </c>
      <c r="E23" s="39">
        <v>30</v>
      </c>
      <c r="F23" s="40" t="s">
        <v>39</v>
      </c>
      <c r="G23" s="40" t="s">
        <v>48</v>
      </c>
      <c r="H23" s="32">
        <v>3000</v>
      </c>
      <c r="I23" s="38" t="s">
        <v>9</v>
      </c>
      <c r="J23" s="7" t="s">
        <v>69</v>
      </c>
      <c r="K23" s="1" t="s">
        <v>800</v>
      </c>
    </row>
    <row r="24" spans="1:11" ht="18.45">
      <c r="A24" s="26">
        <v>45912</v>
      </c>
      <c r="B24" s="27"/>
      <c r="C24" s="34" t="s">
        <v>111</v>
      </c>
      <c r="D24" s="34" t="s">
        <v>28</v>
      </c>
      <c r="E24" s="35">
        <v>50</v>
      </c>
      <c r="F24" s="36" t="s">
        <v>15</v>
      </c>
      <c r="G24" s="36" t="s">
        <v>10</v>
      </c>
      <c r="H24" s="41">
        <v>3000</v>
      </c>
      <c r="I24" s="34" t="s">
        <v>11</v>
      </c>
      <c r="J24" s="7" t="s">
        <v>33</v>
      </c>
      <c r="K24" s="1" t="s">
        <v>800</v>
      </c>
    </row>
    <row r="25" spans="1:11" ht="18.45">
      <c r="A25" s="26">
        <v>45916</v>
      </c>
      <c r="B25" s="27" t="str">
        <f t="shared" si="2"/>
        <v>火</v>
      </c>
      <c r="C25" s="28" t="s">
        <v>112</v>
      </c>
      <c r="D25" s="28" t="s">
        <v>113</v>
      </c>
      <c r="E25" s="29">
        <v>50</v>
      </c>
      <c r="F25" s="30" t="s">
        <v>13</v>
      </c>
      <c r="G25" s="30" t="s">
        <v>570</v>
      </c>
      <c r="H25" s="31">
        <v>0</v>
      </c>
      <c r="I25" s="28" t="s">
        <v>9</v>
      </c>
      <c r="J25" s="7" t="s">
        <v>114</v>
      </c>
      <c r="K25" s="1" t="s">
        <v>800</v>
      </c>
    </row>
    <row r="26" spans="1:11" ht="18.45">
      <c r="A26" s="26">
        <v>45917</v>
      </c>
      <c r="B26" s="27" t="str">
        <f t="shared" ref="B26" si="4">TEXT(A26,"aaa")</f>
        <v>水</v>
      </c>
      <c r="C26" s="28" t="s">
        <v>101</v>
      </c>
      <c r="D26" s="28" t="s">
        <v>75</v>
      </c>
      <c r="E26" s="29">
        <v>30</v>
      </c>
      <c r="F26" s="30" t="s">
        <v>77</v>
      </c>
      <c r="G26" s="30" t="s">
        <v>585</v>
      </c>
      <c r="H26" s="31">
        <v>0</v>
      </c>
      <c r="I26" s="28" t="s">
        <v>9</v>
      </c>
      <c r="J26" s="7" t="s">
        <v>115</v>
      </c>
      <c r="K26" s="1" t="s">
        <v>800</v>
      </c>
    </row>
    <row r="27" spans="1:11" ht="18.45">
      <c r="A27" s="26">
        <v>45917</v>
      </c>
      <c r="B27" s="27"/>
      <c r="C27" s="28" t="s">
        <v>45</v>
      </c>
      <c r="D27" s="28" t="s">
        <v>67</v>
      </c>
      <c r="E27" s="29">
        <v>50</v>
      </c>
      <c r="F27" s="30" t="s">
        <v>13</v>
      </c>
      <c r="G27" s="30" t="s">
        <v>17</v>
      </c>
      <c r="H27" s="31">
        <v>0</v>
      </c>
      <c r="I27" s="28" t="s">
        <v>9</v>
      </c>
      <c r="J27" s="7" t="s">
        <v>68</v>
      </c>
      <c r="K27" s="1" t="s">
        <v>800</v>
      </c>
    </row>
    <row r="28" spans="1:11" ht="18.45">
      <c r="A28" s="26">
        <v>45917</v>
      </c>
      <c r="B28" s="27"/>
      <c r="C28" s="28" t="s">
        <v>49</v>
      </c>
      <c r="D28" s="28" t="s">
        <v>80</v>
      </c>
      <c r="E28" s="29">
        <v>30</v>
      </c>
      <c r="F28" s="30" t="s">
        <v>39</v>
      </c>
      <c r="G28" s="30" t="s">
        <v>48</v>
      </c>
      <c r="H28" s="32">
        <v>3000</v>
      </c>
      <c r="I28" s="28" t="s">
        <v>9</v>
      </c>
      <c r="J28" s="7" t="s">
        <v>81</v>
      </c>
      <c r="K28" s="1" t="s">
        <v>800</v>
      </c>
    </row>
    <row r="29" spans="1:11" ht="18.45">
      <c r="A29" s="26">
        <v>45917</v>
      </c>
      <c r="B29" s="27"/>
      <c r="C29" s="28" t="s">
        <v>27</v>
      </c>
      <c r="D29" s="28" t="s">
        <v>96</v>
      </c>
      <c r="E29" s="29">
        <v>40</v>
      </c>
      <c r="F29" s="30" t="s">
        <v>15</v>
      </c>
      <c r="G29" s="30" t="s">
        <v>116</v>
      </c>
      <c r="H29" s="31">
        <v>3000</v>
      </c>
      <c r="I29" s="28" t="s">
        <v>11</v>
      </c>
      <c r="J29" s="7" t="s">
        <v>117</v>
      </c>
      <c r="K29" s="1" t="s">
        <v>800</v>
      </c>
    </row>
    <row r="30" spans="1:11" ht="18.45">
      <c r="A30" s="26">
        <v>45917</v>
      </c>
      <c r="B30" s="27"/>
      <c r="C30" s="28" t="s">
        <v>118</v>
      </c>
      <c r="D30" s="28" t="s">
        <v>38</v>
      </c>
      <c r="E30" s="29">
        <v>20</v>
      </c>
      <c r="F30" s="30" t="s">
        <v>119</v>
      </c>
      <c r="G30" s="30" t="s">
        <v>120</v>
      </c>
      <c r="H30" s="31">
        <v>0</v>
      </c>
      <c r="I30" s="28" t="s">
        <v>9</v>
      </c>
      <c r="J30" s="7" t="s">
        <v>121</v>
      </c>
      <c r="K30" s="1" t="s">
        <v>800</v>
      </c>
    </row>
    <row r="31" spans="1:11" ht="18.45">
      <c r="A31" s="26">
        <v>45918</v>
      </c>
      <c r="B31" s="27" t="str">
        <f t="shared" si="2"/>
        <v>木</v>
      </c>
      <c r="C31" s="28" t="s">
        <v>12</v>
      </c>
      <c r="D31" s="28" t="s">
        <v>53</v>
      </c>
      <c r="E31" s="29">
        <v>30</v>
      </c>
      <c r="F31" s="30" t="s">
        <v>39</v>
      </c>
      <c r="G31" s="30" t="s">
        <v>48</v>
      </c>
      <c r="H31" s="32">
        <v>3000</v>
      </c>
      <c r="I31" s="28" t="s">
        <v>9</v>
      </c>
      <c r="J31" s="7" t="s">
        <v>54</v>
      </c>
      <c r="K31" s="1" t="s">
        <v>800</v>
      </c>
    </row>
    <row r="32" spans="1:11" ht="18.45">
      <c r="A32" s="26">
        <v>45918</v>
      </c>
      <c r="B32" s="27"/>
      <c r="C32" s="28" t="s">
        <v>12</v>
      </c>
      <c r="D32" s="28" t="s">
        <v>38</v>
      </c>
      <c r="E32" s="29">
        <v>50</v>
      </c>
      <c r="F32" s="30" t="s">
        <v>13</v>
      </c>
      <c r="G32" s="30" t="s">
        <v>14</v>
      </c>
      <c r="H32" s="31">
        <v>3000</v>
      </c>
      <c r="I32" s="28" t="s">
        <v>11</v>
      </c>
      <c r="J32" s="7" t="s">
        <v>23</v>
      </c>
      <c r="K32" s="1" t="s">
        <v>800</v>
      </c>
    </row>
    <row r="33" spans="1:11" ht="18.45">
      <c r="A33" s="26">
        <v>45918</v>
      </c>
      <c r="B33" s="27"/>
      <c r="C33" s="28" t="s">
        <v>207</v>
      </c>
      <c r="D33" s="28" t="s">
        <v>209</v>
      </c>
      <c r="E33" s="29"/>
      <c r="F33" s="30" t="s">
        <v>208</v>
      </c>
      <c r="G33" s="30" t="s">
        <v>195</v>
      </c>
      <c r="H33" s="31">
        <v>0</v>
      </c>
      <c r="I33" s="28" t="s">
        <v>31</v>
      </c>
      <c r="J33" s="7" t="s">
        <v>191</v>
      </c>
      <c r="K33" s="1" t="s">
        <v>800</v>
      </c>
    </row>
    <row r="34" spans="1:11" ht="18.45">
      <c r="A34" s="26">
        <v>45918</v>
      </c>
      <c r="B34" s="27"/>
      <c r="C34" s="28" t="s">
        <v>111</v>
      </c>
      <c r="D34" s="28" t="s">
        <v>122</v>
      </c>
      <c r="E34" s="29">
        <v>40</v>
      </c>
      <c r="F34" s="30" t="s">
        <v>15</v>
      </c>
      <c r="G34" s="30" t="s">
        <v>10</v>
      </c>
      <c r="H34" s="31">
        <v>3000</v>
      </c>
      <c r="I34" s="28" t="s">
        <v>11</v>
      </c>
      <c r="J34" s="7" t="s">
        <v>33</v>
      </c>
      <c r="K34" s="1" t="s">
        <v>800</v>
      </c>
    </row>
    <row r="35" spans="1:11" ht="18.45">
      <c r="A35" s="26">
        <v>45918</v>
      </c>
      <c r="B35" s="27"/>
      <c r="C35" s="28" t="s">
        <v>78</v>
      </c>
      <c r="D35" s="28" t="s">
        <v>55</v>
      </c>
      <c r="E35" s="29">
        <v>40</v>
      </c>
      <c r="F35" s="30" t="s">
        <v>34</v>
      </c>
      <c r="G35" s="30" t="s">
        <v>35</v>
      </c>
      <c r="H35" s="31">
        <v>0</v>
      </c>
      <c r="I35" s="28" t="s">
        <v>11</v>
      </c>
      <c r="J35" s="7" t="s">
        <v>36</v>
      </c>
      <c r="K35" s="1" t="s">
        <v>800</v>
      </c>
    </row>
    <row r="36" spans="1:11" ht="18.45">
      <c r="A36" s="26">
        <v>45918</v>
      </c>
      <c r="B36" s="27"/>
      <c r="C36" s="28" t="s">
        <v>160</v>
      </c>
      <c r="D36" s="28" t="s">
        <v>162</v>
      </c>
      <c r="E36" s="29">
        <v>80</v>
      </c>
      <c r="F36" s="30" t="s">
        <v>159</v>
      </c>
      <c r="G36" s="30" t="s">
        <v>161</v>
      </c>
      <c r="H36" s="31">
        <v>0</v>
      </c>
      <c r="I36" s="28" t="s">
        <v>9</v>
      </c>
      <c r="J36" s="7" t="s">
        <v>163</v>
      </c>
      <c r="K36" s="1" t="s">
        <v>800</v>
      </c>
    </row>
    <row r="37" spans="1:11" ht="18.45">
      <c r="A37" s="26">
        <v>45918</v>
      </c>
      <c r="B37" s="27"/>
      <c r="C37" s="28" t="s">
        <v>124</v>
      </c>
      <c r="D37" s="28" t="s">
        <v>61</v>
      </c>
      <c r="E37" s="29">
        <v>120</v>
      </c>
      <c r="F37" s="30" t="s">
        <v>26</v>
      </c>
      <c r="G37" s="30" t="s">
        <v>105</v>
      </c>
      <c r="H37" s="31">
        <v>0</v>
      </c>
      <c r="I37" s="28" t="s">
        <v>9</v>
      </c>
      <c r="J37" s="7" t="s">
        <v>123</v>
      </c>
      <c r="K37" s="1" t="s">
        <v>800</v>
      </c>
    </row>
    <row r="38" spans="1:11" ht="18.45">
      <c r="A38" s="26">
        <v>45919</v>
      </c>
      <c r="B38" s="27" t="str">
        <f t="shared" si="2"/>
        <v>金</v>
      </c>
      <c r="C38" s="38" t="s">
        <v>27</v>
      </c>
      <c r="D38" s="38" t="s">
        <v>29</v>
      </c>
      <c r="E38" s="39">
        <v>70</v>
      </c>
      <c r="F38" s="40" t="s">
        <v>39</v>
      </c>
      <c r="G38" s="40" t="s">
        <v>21</v>
      </c>
      <c r="H38" s="32">
        <v>3000</v>
      </c>
      <c r="I38" s="38" t="s">
        <v>9</v>
      </c>
      <c r="J38" s="6" t="s">
        <v>88</v>
      </c>
      <c r="K38" s="1" t="s">
        <v>800</v>
      </c>
    </row>
    <row r="39" spans="1:11" ht="18.45">
      <c r="A39" s="26">
        <v>45919</v>
      </c>
      <c r="B39" s="27"/>
      <c r="C39" s="28" t="s">
        <v>210</v>
      </c>
      <c r="D39" s="28" t="s">
        <v>211</v>
      </c>
      <c r="E39" s="29"/>
      <c r="F39" s="30" t="s">
        <v>212</v>
      </c>
      <c r="G39" s="30" t="s">
        <v>195</v>
      </c>
      <c r="H39" s="31">
        <v>0</v>
      </c>
      <c r="I39" s="28" t="s">
        <v>31</v>
      </c>
      <c r="J39" s="7" t="s">
        <v>191</v>
      </c>
      <c r="K39" s="1" t="s">
        <v>800</v>
      </c>
    </row>
    <row r="40" spans="1:11" ht="18.45">
      <c r="A40" s="26">
        <v>45922</v>
      </c>
      <c r="B40" s="27" t="str">
        <f t="shared" si="2"/>
        <v>月</v>
      </c>
      <c r="C40" s="28" t="s">
        <v>154</v>
      </c>
      <c r="D40" s="28" t="s">
        <v>155</v>
      </c>
      <c r="E40" s="29">
        <v>20</v>
      </c>
      <c r="F40" s="30" t="s">
        <v>20</v>
      </c>
      <c r="G40" s="30" t="s">
        <v>156</v>
      </c>
      <c r="H40" s="31">
        <v>3000</v>
      </c>
      <c r="I40" s="28" t="s">
        <v>9</v>
      </c>
      <c r="J40" s="6" t="s">
        <v>157</v>
      </c>
      <c r="K40" s="1" t="s">
        <v>800</v>
      </c>
    </row>
    <row r="41" spans="1:11" ht="18.45">
      <c r="A41" s="26">
        <v>45922</v>
      </c>
      <c r="B41" s="27"/>
      <c r="C41" s="28" t="s">
        <v>213</v>
      </c>
      <c r="D41" s="28" t="s">
        <v>186</v>
      </c>
      <c r="E41" s="29">
        <v>15</v>
      </c>
      <c r="F41" s="30" t="s">
        <v>214</v>
      </c>
      <c r="G41" s="30" t="s">
        <v>195</v>
      </c>
      <c r="H41" s="31">
        <v>0</v>
      </c>
      <c r="I41" s="28" t="s">
        <v>31</v>
      </c>
      <c r="J41" s="7" t="s">
        <v>191</v>
      </c>
      <c r="K41" s="1" t="s">
        <v>800</v>
      </c>
    </row>
    <row r="42" spans="1:11" ht="18.45">
      <c r="A42" s="26">
        <v>45924</v>
      </c>
      <c r="B42" s="27" t="str">
        <f t="shared" ref="B42" si="5">TEXT(A42,"aaa")</f>
        <v>水</v>
      </c>
      <c r="C42" s="28" t="s">
        <v>101</v>
      </c>
      <c r="D42" s="28" t="s">
        <v>75</v>
      </c>
      <c r="E42" s="29">
        <v>40</v>
      </c>
      <c r="F42" s="30" t="s">
        <v>77</v>
      </c>
      <c r="G42" s="30" t="s">
        <v>76</v>
      </c>
      <c r="H42" s="31">
        <v>3000</v>
      </c>
      <c r="I42" s="28" t="s">
        <v>9</v>
      </c>
      <c r="J42" s="7" t="s">
        <v>125</v>
      </c>
      <c r="K42" s="1" t="s">
        <v>800</v>
      </c>
    </row>
    <row r="43" spans="1:11" ht="18.45">
      <c r="A43" s="26">
        <v>45924</v>
      </c>
      <c r="B43" s="27"/>
      <c r="C43" s="28" t="s">
        <v>145</v>
      </c>
      <c r="D43" s="28" t="s">
        <v>148</v>
      </c>
      <c r="E43" s="29">
        <v>25</v>
      </c>
      <c r="F43" s="30" t="s">
        <v>146</v>
      </c>
      <c r="G43" s="30" t="s">
        <v>147</v>
      </c>
      <c r="H43" s="31">
        <v>0</v>
      </c>
      <c r="I43" s="28" t="s">
        <v>9</v>
      </c>
      <c r="J43" s="6" t="s">
        <v>150</v>
      </c>
      <c r="K43" s="1" t="s">
        <v>800</v>
      </c>
    </row>
    <row r="44" spans="1:11" ht="18.45">
      <c r="A44" s="26">
        <v>45924</v>
      </c>
      <c r="B44" s="27"/>
      <c r="C44" s="28" t="s">
        <v>111</v>
      </c>
      <c r="D44" s="28" t="s">
        <v>29</v>
      </c>
      <c r="E44" s="29">
        <v>50</v>
      </c>
      <c r="F44" s="30" t="s">
        <v>126</v>
      </c>
      <c r="G44" s="30" t="s">
        <v>10</v>
      </c>
      <c r="H44" s="31">
        <v>3000</v>
      </c>
      <c r="I44" s="28" t="s">
        <v>11</v>
      </c>
      <c r="J44" s="7" t="s">
        <v>33</v>
      </c>
      <c r="K44" s="1" t="s">
        <v>800</v>
      </c>
    </row>
    <row r="45" spans="1:11" ht="18.45">
      <c r="A45" s="26">
        <v>45925</v>
      </c>
      <c r="B45" s="27" t="str">
        <f t="shared" ref="B45" si="6">TEXT(A45,"aaa")</f>
        <v>木</v>
      </c>
      <c r="C45" s="28" t="s">
        <v>182</v>
      </c>
      <c r="D45" s="28" t="s">
        <v>75</v>
      </c>
      <c r="E45" s="29">
        <v>8</v>
      </c>
      <c r="F45" s="30" t="s">
        <v>183</v>
      </c>
      <c r="G45" s="30" t="s">
        <v>76</v>
      </c>
      <c r="H45" s="33">
        <v>2000</v>
      </c>
      <c r="I45" s="28" t="s">
        <v>168</v>
      </c>
      <c r="J45" s="6" t="s">
        <v>184</v>
      </c>
      <c r="K45" s="1" t="s">
        <v>800</v>
      </c>
    </row>
    <row r="46" spans="1:11" ht="18.45">
      <c r="A46" s="26">
        <v>45925</v>
      </c>
      <c r="B46" s="27"/>
      <c r="C46" s="28" t="s">
        <v>37</v>
      </c>
      <c r="D46" s="28" t="s">
        <v>16</v>
      </c>
      <c r="E46" s="29">
        <v>35</v>
      </c>
      <c r="F46" s="30" t="s">
        <v>62</v>
      </c>
      <c r="G46" s="30" t="s">
        <v>17</v>
      </c>
      <c r="H46" s="31">
        <v>0</v>
      </c>
      <c r="I46" s="28" t="s">
        <v>9</v>
      </c>
      <c r="J46" s="7" t="s">
        <v>71</v>
      </c>
      <c r="K46" s="1" t="s">
        <v>800</v>
      </c>
    </row>
    <row r="47" spans="1:11" ht="18.45">
      <c r="A47" s="26">
        <v>45925</v>
      </c>
      <c r="B47" s="27"/>
      <c r="C47" s="28" t="s">
        <v>47</v>
      </c>
      <c r="D47" s="28" t="s">
        <v>89</v>
      </c>
      <c r="E47" s="29">
        <v>40</v>
      </c>
      <c r="F47" s="30" t="s">
        <v>127</v>
      </c>
      <c r="G47" s="30" t="s">
        <v>196</v>
      </c>
      <c r="H47" s="31">
        <v>0</v>
      </c>
      <c r="I47" s="28" t="s">
        <v>9</v>
      </c>
      <c r="J47" s="7" t="s">
        <v>128</v>
      </c>
      <c r="K47" s="1" t="s">
        <v>800</v>
      </c>
    </row>
    <row r="48" spans="1:11" ht="18.45">
      <c r="A48" s="26">
        <v>45925</v>
      </c>
      <c r="B48" s="27"/>
      <c r="C48" s="28" t="s">
        <v>18</v>
      </c>
      <c r="D48" s="28" t="s">
        <v>72</v>
      </c>
      <c r="E48" s="29">
        <v>20</v>
      </c>
      <c r="F48" s="30" t="s">
        <v>13</v>
      </c>
      <c r="G48" s="30" t="s">
        <v>73</v>
      </c>
      <c r="H48" s="31">
        <v>1000</v>
      </c>
      <c r="I48" s="28" t="s">
        <v>11</v>
      </c>
      <c r="J48" s="7" t="s">
        <v>74</v>
      </c>
      <c r="K48" s="1" t="s">
        <v>800</v>
      </c>
    </row>
    <row r="49" spans="1:11" ht="18.45">
      <c r="A49" s="26">
        <v>45925</v>
      </c>
      <c r="B49" s="27"/>
      <c r="C49" s="28" t="s">
        <v>57</v>
      </c>
      <c r="D49" s="28" t="s">
        <v>28</v>
      </c>
      <c r="E49" s="29">
        <v>120</v>
      </c>
      <c r="F49" s="30" t="s">
        <v>58</v>
      </c>
      <c r="G49" s="30" t="s">
        <v>59</v>
      </c>
      <c r="H49" s="31">
        <v>5500</v>
      </c>
      <c r="I49" s="28" t="s">
        <v>11</v>
      </c>
      <c r="J49" s="7" t="s">
        <v>60</v>
      </c>
      <c r="K49" s="1" t="s">
        <v>800</v>
      </c>
    </row>
    <row r="50" spans="1:11" ht="18.45">
      <c r="A50" s="26">
        <v>45925</v>
      </c>
      <c r="B50" s="27"/>
      <c r="C50" s="28" t="s">
        <v>82</v>
      </c>
      <c r="D50" s="28" t="s">
        <v>19</v>
      </c>
      <c r="E50" s="29">
        <v>70</v>
      </c>
      <c r="F50" s="30" t="s">
        <v>15</v>
      </c>
      <c r="G50" s="30" t="s">
        <v>83</v>
      </c>
      <c r="H50" s="31">
        <v>1000</v>
      </c>
      <c r="I50" s="28" t="s">
        <v>9</v>
      </c>
      <c r="J50" s="7" t="s">
        <v>84</v>
      </c>
      <c r="K50" s="1" t="s">
        <v>800</v>
      </c>
    </row>
    <row r="51" spans="1:11" ht="18.45">
      <c r="A51" s="26">
        <v>45926</v>
      </c>
      <c r="B51" s="27" t="str">
        <f t="shared" si="2"/>
        <v>金</v>
      </c>
      <c r="C51" s="28" t="s">
        <v>12</v>
      </c>
      <c r="D51" s="28" t="s">
        <v>24</v>
      </c>
      <c r="E51" s="29">
        <v>35</v>
      </c>
      <c r="F51" s="30" t="s">
        <v>15</v>
      </c>
      <c r="G51" s="30" t="s">
        <v>10</v>
      </c>
      <c r="H51" s="31">
        <v>3000</v>
      </c>
      <c r="I51" s="28" t="s">
        <v>11</v>
      </c>
      <c r="J51" s="7" t="s">
        <v>33</v>
      </c>
      <c r="K51" s="1" t="s">
        <v>800</v>
      </c>
    </row>
    <row r="52" spans="1:11" ht="18.45">
      <c r="A52" s="26">
        <v>45926</v>
      </c>
      <c r="B52" s="27"/>
      <c r="C52" s="28" t="s">
        <v>18</v>
      </c>
      <c r="D52" s="28" t="s">
        <v>151</v>
      </c>
      <c r="E52" s="29">
        <v>60</v>
      </c>
      <c r="F52" s="30" t="s">
        <v>152</v>
      </c>
      <c r="G52" s="30" t="s">
        <v>571</v>
      </c>
      <c r="H52" s="31">
        <v>0</v>
      </c>
      <c r="I52" s="28" t="s">
        <v>9</v>
      </c>
      <c r="J52" s="6" t="s">
        <v>153</v>
      </c>
      <c r="K52" s="1" t="s">
        <v>800</v>
      </c>
    </row>
    <row r="53" spans="1:11" ht="18.45">
      <c r="A53" s="26">
        <v>45927</v>
      </c>
      <c r="B53" s="27" t="str">
        <f t="shared" si="2"/>
        <v>土</v>
      </c>
      <c r="C53" s="28" t="s">
        <v>143</v>
      </c>
      <c r="D53" s="28" t="s">
        <v>144</v>
      </c>
      <c r="E53" s="29"/>
      <c r="F53" s="30" t="s">
        <v>140</v>
      </c>
      <c r="G53" s="30" t="s">
        <v>587</v>
      </c>
      <c r="H53" s="33">
        <v>6000</v>
      </c>
      <c r="I53" s="28" t="s">
        <v>31</v>
      </c>
      <c r="J53" s="7" t="s">
        <v>141</v>
      </c>
      <c r="K53" s="1" t="s">
        <v>800</v>
      </c>
    </row>
    <row r="54" spans="1:11" ht="18.45">
      <c r="A54" s="26">
        <v>45929</v>
      </c>
      <c r="B54" s="27" t="str">
        <f t="shared" ref="B54" si="7">TEXT(A54,"aaa")</f>
        <v>月</v>
      </c>
      <c r="C54" s="38" t="s">
        <v>164</v>
      </c>
      <c r="D54" s="38" t="s">
        <v>167</v>
      </c>
      <c r="E54" s="39">
        <v>30</v>
      </c>
      <c r="F54" s="40" t="s">
        <v>166</v>
      </c>
      <c r="G54" s="40" t="s">
        <v>165</v>
      </c>
      <c r="H54" s="42">
        <v>3000</v>
      </c>
      <c r="I54" s="38" t="s">
        <v>168</v>
      </c>
      <c r="J54" s="8" t="s">
        <v>169</v>
      </c>
      <c r="K54" s="1" t="s">
        <v>800</v>
      </c>
    </row>
    <row r="55" spans="1:11" ht="18.45">
      <c r="A55" s="26">
        <v>45929</v>
      </c>
      <c r="B55" s="27"/>
      <c r="C55" s="28" t="s">
        <v>49</v>
      </c>
      <c r="D55" s="28" t="s">
        <v>85</v>
      </c>
      <c r="E55" s="29">
        <v>25</v>
      </c>
      <c r="F55" s="30" t="s">
        <v>39</v>
      </c>
      <c r="G55" s="30" t="s">
        <v>48</v>
      </c>
      <c r="H55" s="32">
        <v>3000</v>
      </c>
      <c r="I55" s="28" t="s">
        <v>9</v>
      </c>
      <c r="J55" s="9" t="s">
        <v>86</v>
      </c>
      <c r="K55" s="1" t="s">
        <v>800</v>
      </c>
    </row>
    <row r="56" spans="1:11" ht="18.45">
      <c r="A56" s="26">
        <v>45929</v>
      </c>
      <c r="B56" s="27"/>
      <c r="C56" s="38" t="s">
        <v>78</v>
      </c>
      <c r="D56" s="38" t="s">
        <v>87</v>
      </c>
      <c r="E56" s="39">
        <v>90</v>
      </c>
      <c r="F56" s="40" t="s">
        <v>34</v>
      </c>
      <c r="G56" s="40" t="s">
        <v>35</v>
      </c>
      <c r="H56" s="43">
        <v>0</v>
      </c>
      <c r="I56" s="38" t="s">
        <v>11</v>
      </c>
      <c r="J56" s="9" t="s">
        <v>36</v>
      </c>
      <c r="K56" s="1" t="s">
        <v>800</v>
      </c>
    </row>
    <row r="57" spans="1:11" ht="18.45">
      <c r="A57" s="26">
        <v>45932</v>
      </c>
      <c r="B57" s="27" t="str">
        <f t="shared" ref="B57" si="8">TEXT(A57,"aaa")</f>
        <v>木</v>
      </c>
      <c r="C57" s="28" t="s">
        <v>12</v>
      </c>
      <c r="D57" s="28" t="s">
        <v>38</v>
      </c>
      <c r="E57" s="29">
        <v>50</v>
      </c>
      <c r="F57" s="30" t="s">
        <v>13</v>
      </c>
      <c r="G57" s="30" t="s">
        <v>14</v>
      </c>
      <c r="H57" s="31">
        <v>3000</v>
      </c>
      <c r="I57" s="28" t="s">
        <v>11</v>
      </c>
      <c r="J57" s="7" t="s">
        <v>23</v>
      </c>
      <c r="K57" s="1" t="s">
        <v>800</v>
      </c>
    </row>
    <row r="58" spans="1:11" ht="18.45">
      <c r="A58" s="26">
        <v>45932</v>
      </c>
      <c r="B58" s="27"/>
      <c r="C58" s="28" t="s">
        <v>215</v>
      </c>
      <c r="D58" s="28" t="s">
        <v>216</v>
      </c>
      <c r="E58" s="29"/>
      <c r="F58" s="30" t="s">
        <v>217</v>
      </c>
      <c r="G58" s="30" t="s">
        <v>195</v>
      </c>
      <c r="H58" s="31">
        <v>0</v>
      </c>
      <c r="I58" s="28" t="s">
        <v>31</v>
      </c>
      <c r="J58" s="7" t="s">
        <v>191</v>
      </c>
      <c r="K58" s="1" t="s">
        <v>800</v>
      </c>
    </row>
    <row r="59" spans="1:11" ht="18.45">
      <c r="A59" s="26">
        <v>45933</v>
      </c>
      <c r="B59" s="27" t="str">
        <f t="shared" ref="B59:B71" si="9">TEXT(A59,"aaa")</f>
        <v>金</v>
      </c>
      <c r="C59" s="28" t="s">
        <v>45</v>
      </c>
      <c r="D59" s="28" t="s">
        <v>46</v>
      </c>
      <c r="E59" s="29">
        <v>30</v>
      </c>
      <c r="F59" s="30" t="s">
        <v>13</v>
      </c>
      <c r="G59" s="30" t="s">
        <v>594</v>
      </c>
      <c r="H59" s="31">
        <v>2000</v>
      </c>
      <c r="I59" s="28" t="s">
        <v>9</v>
      </c>
      <c r="J59" s="7" t="s">
        <v>129</v>
      </c>
      <c r="K59" s="1" t="s">
        <v>800</v>
      </c>
    </row>
    <row r="60" spans="1:11" ht="18.45">
      <c r="A60" s="26">
        <v>45936</v>
      </c>
      <c r="B60" s="27" t="str">
        <f t="shared" si="9"/>
        <v>月</v>
      </c>
      <c r="C60" s="28" t="s">
        <v>52</v>
      </c>
      <c r="D60" s="28" t="s">
        <v>19</v>
      </c>
      <c r="E60" s="29">
        <v>30</v>
      </c>
      <c r="F60" s="30" t="s">
        <v>20</v>
      </c>
      <c r="G60" s="30" t="s">
        <v>590</v>
      </c>
      <c r="H60" s="31">
        <v>2500</v>
      </c>
      <c r="I60" s="28" t="s">
        <v>11</v>
      </c>
      <c r="J60" s="7" t="s">
        <v>56</v>
      </c>
      <c r="K60" s="1" t="s">
        <v>800</v>
      </c>
    </row>
    <row r="61" spans="1:11" ht="18.45">
      <c r="A61" s="26">
        <v>45936</v>
      </c>
      <c r="B61" s="27"/>
      <c r="C61" s="28" t="s">
        <v>218</v>
      </c>
      <c r="D61" s="28" t="s">
        <v>186</v>
      </c>
      <c r="E61" s="29">
        <v>100</v>
      </c>
      <c r="F61" s="30" t="s">
        <v>219</v>
      </c>
      <c r="G61" s="30" t="s">
        <v>195</v>
      </c>
      <c r="H61" s="31">
        <v>0</v>
      </c>
      <c r="I61" s="28" t="s">
        <v>31</v>
      </c>
      <c r="J61" s="7" t="s">
        <v>191</v>
      </c>
      <c r="K61" s="1" t="s">
        <v>800</v>
      </c>
    </row>
    <row r="62" spans="1:11" ht="18.45">
      <c r="A62" s="26">
        <v>45938</v>
      </c>
      <c r="B62" s="27" t="str">
        <f>TEXT(A62,"aaa")</f>
        <v>水</v>
      </c>
      <c r="C62" s="28" t="s">
        <v>246</v>
      </c>
      <c r="D62" s="28" t="s">
        <v>151</v>
      </c>
      <c r="E62" s="29">
        <v>45</v>
      </c>
      <c r="F62" s="30" t="s">
        <v>247</v>
      </c>
      <c r="G62" s="30" t="s">
        <v>248</v>
      </c>
      <c r="H62" s="31">
        <v>0</v>
      </c>
      <c r="I62" s="28" t="s">
        <v>9</v>
      </c>
      <c r="J62" s="6" t="s">
        <v>249</v>
      </c>
      <c r="K62" s="1" t="s">
        <v>800</v>
      </c>
    </row>
    <row r="63" spans="1:11" ht="18.45">
      <c r="A63" s="26">
        <v>45938</v>
      </c>
      <c r="B63" s="27"/>
      <c r="C63" s="28" t="s">
        <v>250</v>
      </c>
      <c r="D63" s="28" t="s">
        <v>251</v>
      </c>
      <c r="E63" s="29">
        <v>15</v>
      </c>
      <c r="F63" s="30" t="s">
        <v>252</v>
      </c>
      <c r="G63" s="30" t="s">
        <v>253</v>
      </c>
      <c r="H63" s="33">
        <v>2000</v>
      </c>
      <c r="I63" s="28" t="s">
        <v>9</v>
      </c>
      <c r="J63" s="6" t="s">
        <v>254</v>
      </c>
      <c r="K63" s="1" t="s">
        <v>800</v>
      </c>
    </row>
    <row r="64" spans="1:11" ht="18.45">
      <c r="A64" s="26">
        <v>45938</v>
      </c>
      <c r="B64" s="27"/>
      <c r="C64" s="28" t="s">
        <v>255</v>
      </c>
      <c r="D64" s="28" t="s">
        <v>251</v>
      </c>
      <c r="E64" s="29">
        <v>20</v>
      </c>
      <c r="F64" s="30" t="s">
        <v>256</v>
      </c>
      <c r="G64" s="30" t="s">
        <v>48</v>
      </c>
      <c r="H64" s="32">
        <v>3000</v>
      </c>
      <c r="I64" s="28" t="s">
        <v>9</v>
      </c>
      <c r="J64" s="8" t="s">
        <v>257</v>
      </c>
      <c r="K64" s="1" t="s">
        <v>800</v>
      </c>
    </row>
    <row r="65" spans="1:11" ht="18.45">
      <c r="A65" s="26">
        <v>45938</v>
      </c>
      <c r="B65" s="27"/>
      <c r="C65" s="28" t="s">
        <v>137</v>
      </c>
      <c r="D65" s="28" t="s">
        <v>89</v>
      </c>
      <c r="E65" s="29">
        <v>54</v>
      </c>
      <c r="F65" s="30" t="s">
        <v>34</v>
      </c>
      <c r="G65" s="30" t="s">
        <v>35</v>
      </c>
      <c r="H65" s="31">
        <v>0</v>
      </c>
      <c r="I65" s="28" t="s">
        <v>11</v>
      </c>
      <c r="J65" s="7" t="s">
        <v>36</v>
      </c>
      <c r="K65" s="1" t="s">
        <v>800</v>
      </c>
    </row>
    <row r="66" spans="1:11" ht="18.45">
      <c r="A66" s="26">
        <v>45939</v>
      </c>
      <c r="B66" s="27" t="str">
        <f t="shared" si="9"/>
        <v>木</v>
      </c>
      <c r="C66" s="28" t="s">
        <v>12</v>
      </c>
      <c r="D66" s="28" t="s">
        <v>24</v>
      </c>
      <c r="E66" s="29">
        <v>50</v>
      </c>
      <c r="F66" s="30" t="s">
        <v>13</v>
      </c>
      <c r="G66" s="30" t="s">
        <v>14</v>
      </c>
      <c r="H66" s="31">
        <v>3000</v>
      </c>
      <c r="I66" s="28" t="s">
        <v>31</v>
      </c>
      <c r="J66" s="7" t="s">
        <v>130</v>
      </c>
      <c r="K66" s="1" t="s">
        <v>800</v>
      </c>
    </row>
    <row r="67" spans="1:11" ht="18.45">
      <c r="A67" s="26">
        <v>45939</v>
      </c>
      <c r="B67" s="27"/>
      <c r="C67" s="28" t="s">
        <v>12</v>
      </c>
      <c r="D67" s="28" t="s">
        <v>38</v>
      </c>
      <c r="E67" s="29">
        <v>50</v>
      </c>
      <c r="F67" s="30" t="s">
        <v>15</v>
      </c>
      <c r="G67" s="30" t="s">
        <v>64</v>
      </c>
      <c r="H67" s="31">
        <v>3000</v>
      </c>
      <c r="I67" s="28" t="s">
        <v>9</v>
      </c>
      <c r="J67" s="7"/>
      <c r="K67" s="1" t="s">
        <v>800</v>
      </c>
    </row>
    <row r="68" spans="1:11" ht="18.45">
      <c r="A68" s="26">
        <v>45945</v>
      </c>
      <c r="B68" s="27" t="str">
        <f t="shared" si="9"/>
        <v>水</v>
      </c>
      <c r="C68" s="28" t="s">
        <v>178</v>
      </c>
      <c r="D68" s="28" t="s">
        <v>175</v>
      </c>
      <c r="E68" s="29">
        <v>24</v>
      </c>
      <c r="F68" s="30" t="s">
        <v>176</v>
      </c>
      <c r="G68" s="30" t="s">
        <v>177</v>
      </c>
      <c r="H68" s="33">
        <v>3000</v>
      </c>
      <c r="I68" s="28" t="s">
        <v>9</v>
      </c>
      <c r="J68" s="6" t="s">
        <v>179</v>
      </c>
      <c r="K68" s="1" t="s">
        <v>800</v>
      </c>
    </row>
    <row r="69" spans="1:11" ht="18.45">
      <c r="A69" s="26">
        <v>45945</v>
      </c>
      <c r="B69" s="27"/>
      <c r="C69" s="28" t="s">
        <v>145</v>
      </c>
      <c r="D69" s="28" t="s">
        <v>148</v>
      </c>
      <c r="E69" s="29">
        <v>25</v>
      </c>
      <c r="F69" s="30" t="s">
        <v>146</v>
      </c>
      <c r="G69" s="30" t="s">
        <v>147</v>
      </c>
      <c r="H69" s="33">
        <v>0</v>
      </c>
      <c r="I69" s="28" t="s">
        <v>9</v>
      </c>
      <c r="J69" s="6" t="s">
        <v>258</v>
      </c>
      <c r="K69" s="1" t="s">
        <v>800</v>
      </c>
    </row>
    <row r="70" spans="1:11" ht="18.45">
      <c r="A70" s="26">
        <v>45945</v>
      </c>
      <c r="B70" s="27"/>
      <c r="C70" s="28" t="s">
        <v>131</v>
      </c>
      <c r="D70" s="28" t="s">
        <v>132</v>
      </c>
      <c r="E70" s="29">
        <v>30</v>
      </c>
      <c r="F70" s="30" t="s">
        <v>34</v>
      </c>
      <c r="G70" s="30" t="s">
        <v>35</v>
      </c>
      <c r="H70" s="31">
        <v>0</v>
      </c>
      <c r="I70" s="28" t="s">
        <v>11</v>
      </c>
      <c r="J70" s="7" t="s">
        <v>36</v>
      </c>
      <c r="K70" s="1" t="s">
        <v>800</v>
      </c>
    </row>
    <row r="71" spans="1:11" ht="18.45">
      <c r="A71" s="26">
        <v>45946</v>
      </c>
      <c r="B71" s="27" t="str">
        <f t="shared" si="9"/>
        <v>木</v>
      </c>
      <c r="C71" s="28" t="s">
        <v>133</v>
      </c>
      <c r="D71" s="28" t="s">
        <v>134</v>
      </c>
      <c r="E71" s="29">
        <v>300</v>
      </c>
      <c r="F71" s="30" t="s">
        <v>13</v>
      </c>
      <c r="G71" s="30" t="s">
        <v>135</v>
      </c>
      <c r="H71" s="31">
        <v>0</v>
      </c>
      <c r="I71" s="28" t="s">
        <v>9</v>
      </c>
      <c r="J71" s="7" t="s">
        <v>136</v>
      </c>
      <c r="K71" s="1" t="s">
        <v>800</v>
      </c>
    </row>
    <row r="72" spans="1:11" ht="18.45">
      <c r="A72" s="26">
        <v>45951</v>
      </c>
      <c r="B72" s="27" t="str">
        <f>TEXT(A72,"aaa")</f>
        <v>火</v>
      </c>
      <c r="C72" s="28" t="s">
        <v>220</v>
      </c>
      <c r="D72" s="28" t="s">
        <v>87</v>
      </c>
      <c r="E72" s="29"/>
      <c r="F72" s="30" t="s">
        <v>221</v>
      </c>
      <c r="G72" s="30" t="s">
        <v>195</v>
      </c>
      <c r="H72" s="31">
        <v>0</v>
      </c>
      <c r="I72" s="28" t="s">
        <v>31</v>
      </c>
      <c r="J72" s="7" t="s">
        <v>191</v>
      </c>
      <c r="K72" s="1" t="s">
        <v>800</v>
      </c>
    </row>
    <row r="73" spans="1:11" ht="18.45">
      <c r="A73" s="26">
        <v>45951</v>
      </c>
      <c r="B73" s="27"/>
      <c r="C73" s="28" t="s">
        <v>100</v>
      </c>
      <c r="D73" s="28" t="s">
        <v>237</v>
      </c>
      <c r="E73" s="29">
        <v>50</v>
      </c>
      <c r="F73" s="30" t="s">
        <v>284</v>
      </c>
      <c r="G73" s="30" t="s">
        <v>572</v>
      </c>
      <c r="H73" s="31">
        <v>0</v>
      </c>
      <c r="I73" s="28" t="s">
        <v>168</v>
      </c>
      <c r="J73" s="7" t="s">
        <v>326</v>
      </c>
      <c r="K73" s="1" t="s">
        <v>800</v>
      </c>
    </row>
    <row r="74" spans="1:11" ht="18.45">
      <c r="A74" s="26">
        <v>45951</v>
      </c>
      <c r="B74" s="27"/>
      <c r="C74" s="28" t="s">
        <v>22</v>
      </c>
      <c r="D74" s="28" t="s">
        <v>186</v>
      </c>
      <c r="E74" s="29"/>
      <c r="F74" s="30" t="s">
        <v>51</v>
      </c>
      <c r="G74" s="30" t="s">
        <v>584</v>
      </c>
      <c r="H74" s="31">
        <v>0</v>
      </c>
      <c r="I74" s="28" t="s">
        <v>31</v>
      </c>
      <c r="J74" s="7" t="s">
        <v>32</v>
      </c>
      <c r="K74" s="1" t="s">
        <v>800</v>
      </c>
    </row>
    <row r="75" spans="1:11" ht="18.45">
      <c r="A75" s="26">
        <v>45952</v>
      </c>
      <c r="B75" s="27" t="str">
        <f>TEXT(A75,"aaa")</f>
        <v>水</v>
      </c>
      <c r="C75" s="28" t="s">
        <v>325</v>
      </c>
      <c r="D75" s="28" t="s">
        <v>324</v>
      </c>
      <c r="E75" s="29">
        <v>40</v>
      </c>
      <c r="F75" s="30" t="s">
        <v>323</v>
      </c>
      <c r="G75" s="30" t="s">
        <v>591</v>
      </c>
      <c r="H75" s="33">
        <v>3000</v>
      </c>
      <c r="I75" s="28" t="s">
        <v>168</v>
      </c>
      <c r="J75" s="6" t="s">
        <v>322</v>
      </c>
      <c r="K75" s="1" t="s">
        <v>800</v>
      </c>
    </row>
    <row r="76" spans="1:11" ht="18.45">
      <c r="A76" s="26">
        <v>45952</v>
      </c>
      <c r="B76" s="27"/>
      <c r="C76" s="28" t="s">
        <v>321</v>
      </c>
      <c r="D76" s="28" t="s">
        <v>151</v>
      </c>
      <c r="E76" s="29">
        <v>30</v>
      </c>
      <c r="F76" s="30" t="s">
        <v>108</v>
      </c>
      <c r="G76" s="30" t="s">
        <v>109</v>
      </c>
      <c r="H76" s="33">
        <v>0</v>
      </c>
      <c r="I76" s="28" t="s">
        <v>168</v>
      </c>
      <c r="J76" s="6" t="s">
        <v>320</v>
      </c>
      <c r="K76" s="1" t="s">
        <v>800</v>
      </c>
    </row>
    <row r="77" spans="1:11" ht="18.45">
      <c r="A77" s="26">
        <v>45952</v>
      </c>
      <c r="B77" s="27"/>
      <c r="C77" s="28" t="s">
        <v>66</v>
      </c>
      <c r="D77" s="28" t="s">
        <v>319</v>
      </c>
      <c r="E77" s="29">
        <v>30</v>
      </c>
      <c r="F77" s="30" t="s">
        <v>15</v>
      </c>
      <c r="G77" s="30" t="s">
        <v>10</v>
      </c>
      <c r="H77" s="31">
        <v>3000</v>
      </c>
      <c r="I77" s="28" t="s">
        <v>11</v>
      </c>
      <c r="J77" s="7" t="s">
        <v>33</v>
      </c>
      <c r="K77" s="1" t="s">
        <v>800</v>
      </c>
    </row>
    <row r="78" spans="1:11" ht="18.45">
      <c r="A78" s="26">
        <v>45952</v>
      </c>
      <c r="B78" s="27"/>
      <c r="C78" s="28" t="s">
        <v>318</v>
      </c>
      <c r="D78" s="28" t="s">
        <v>151</v>
      </c>
      <c r="E78" s="29">
        <v>20</v>
      </c>
      <c r="F78" s="30" t="s">
        <v>317</v>
      </c>
      <c r="G78" s="30" t="s">
        <v>316</v>
      </c>
      <c r="H78" s="31">
        <v>0</v>
      </c>
      <c r="I78" s="28" t="s">
        <v>168</v>
      </c>
      <c r="J78" s="6" t="s">
        <v>315</v>
      </c>
      <c r="K78" s="1" t="s">
        <v>800</v>
      </c>
    </row>
    <row r="79" spans="1:11" ht="18.45">
      <c r="A79" s="26">
        <v>45952</v>
      </c>
      <c r="B79" s="27"/>
      <c r="C79" s="28" t="s">
        <v>22</v>
      </c>
      <c r="D79" s="28" t="s">
        <v>187</v>
      </c>
      <c r="E79" s="29"/>
      <c r="F79" s="30" t="s">
        <v>51</v>
      </c>
      <c r="G79" s="30" t="s">
        <v>584</v>
      </c>
      <c r="H79" s="31">
        <v>0</v>
      </c>
      <c r="I79" s="28" t="s">
        <v>31</v>
      </c>
      <c r="J79" s="7" t="s">
        <v>32</v>
      </c>
      <c r="K79" s="1" t="s">
        <v>800</v>
      </c>
    </row>
    <row r="80" spans="1:11" ht="18.45">
      <c r="A80" s="26">
        <v>45953</v>
      </c>
      <c r="B80" s="27" t="str">
        <f>TEXT(A80,"aaa")</f>
        <v>木</v>
      </c>
      <c r="C80" s="28" t="s">
        <v>222</v>
      </c>
      <c r="D80" s="28" t="s">
        <v>167</v>
      </c>
      <c r="E80" s="29">
        <v>50</v>
      </c>
      <c r="F80" s="30" t="s">
        <v>77</v>
      </c>
      <c r="G80" s="30"/>
      <c r="H80" s="33">
        <v>3000</v>
      </c>
      <c r="I80" s="28" t="s">
        <v>168</v>
      </c>
      <c r="J80" s="6" t="s">
        <v>223</v>
      </c>
      <c r="K80" s="1" t="s">
        <v>800</v>
      </c>
    </row>
    <row r="81" spans="1:11" ht="18.45">
      <c r="A81" s="26">
        <v>45953</v>
      </c>
      <c r="B81" s="27"/>
      <c r="C81" s="28" t="s">
        <v>182</v>
      </c>
      <c r="D81" s="28" t="s">
        <v>314</v>
      </c>
      <c r="E81" s="29">
        <v>40</v>
      </c>
      <c r="F81" s="30" t="s">
        <v>313</v>
      </c>
      <c r="G81" s="30" t="s">
        <v>595</v>
      </c>
      <c r="H81" s="33">
        <v>1000</v>
      </c>
      <c r="I81" s="28" t="s">
        <v>168</v>
      </c>
      <c r="J81" s="6" t="s">
        <v>312</v>
      </c>
      <c r="K81" s="1" t="s">
        <v>800</v>
      </c>
    </row>
    <row r="82" spans="1:11" ht="18.45">
      <c r="A82" s="26">
        <v>45953</v>
      </c>
      <c r="B82" s="27"/>
      <c r="C82" s="28" t="s">
        <v>213</v>
      </c>
      <c r="D82" s="28" t="s">
        <v>186</v>
      </c>
      <c r="E82" s="29">
        <v>15</v>
      </c>
      <c r="F82" s="30" t="s">
        <v>224</v>
      </c>
      <c r="G82" s="30" t="s">
        <v>195</v>
      </c>
      <c r="H82" s="31">
        <v>0</v>
      </c>
      <c r="I82" s="28" t="s">
        <v>31</v>
      </c>
      <c r="J82" s="7" t="s">
        <v>191</v>
      </c>
      <c r="K82" s="1" t="s">
        <v>800</v>
      </c>
    </row>
    <row r="83" spans="1:11" ht="18.45">
      <c r="A83" s="26">
        <v>45953</v>
      </c>
      <c r="B83" s="27"/>
      <c r="C83" s="28" t="s">
        <v>225</v>
      </c>
      <c r="D83" s="28" t="s">
        <v>170</v>
      </c>
      <c r="E83" s="29">
        <v>50</v>
      </c>
      <c r="F83" s="30" t="s">
        <v>226</v>
      </c>
      <c r="G83" s="30" t="s">
        <v>172</v>
      </c>
      <c r="H83" s="33">
        <v>5500</v>
      </c>
      <c r="I83" s="28" t="s">
        <v>11</v>
      </c>
      <c r="J83" s="6" t="s">
        <v>227</v>
      </c>
      <c r="K83" s="1" t="s">
        <v>800</v>
      </c>
    </row>
    <row r="84" spans="1:11" ht="18.45">
      <c r="A84" s="26">
        <v>45953</v>
      </c>
      <c r="B84" s="27"/>
      <c r="C84" s="38" t="s">
        <v>27</v>
      </c>
      <c r="D84" s="38" t="s">
        <v>29</v>
      </c>
      <c r="E84" s="39">
        <v>70</v>
      </c>
      <c r="F84" s="40" t="s">
        <v>39</v>
      </c>
      <c r="G84" s="40" t="s">
        <v>21</v>
      </c>
      <c r="H84" s="32">
        <v>3000</v>
      </c>
      <c r="I84" s="38" t="s">
        <v>9</v>
      </c>
      <c r="J84" s="6" t="s">
        <v>311</v>
      </c>
      <c r="K84" s="1" t="s">
        <v>800</v>
      </c>
    </row>
    <row r="85" spans="1:11" ht="18.45">
      <c r="A85" s="26">
        <v>45954</v>
      </c>
      <c r="B85" s="27" t="str">
        <f t="shared" ref="B85:B140" si="10">TEXT(A85,"aaa")</f>
        <v>金</v>
      </c>
      <c r="C85" s="28" t="s">
        <v>154</v>
      </c>
      <c r="D85" s="28" t="s">
        <v>155</v>
      </c>
      <c r="E85" s="29">
        <v>20</v>
      </c>
      <c r="F85" s="30" t="s">
        <v>20</v>
      </c>
      <c r="G85" s="30" t="s">
        <v>156</v>
      </c>
      <c r="H85" s="31">
        <v>3000</v>
      </c>
      <c r="I85" s="28" t="s">
        <v>9</v>
      </c>
      <c r="J85" s="6" t="s">
        <v>158</v>
      </c>
      <c r="K85" s="1" t="s">
        <v>800</v>
      </c>
    </row>
    <row r="86" spans="1:11" ht="18.45">
      <c r="A86" s="26">
        <v>45954</v>
      </c>
      <c r="B86" s="27"/>
      <c r="C86" s="28" t="s">
        <v>201</v>
      </c>
      <c r="D86" s="28" t="s">
        <v>310</v>
      </c>
      <c r="E86" s="29">
        <v>50</v>
      </c>
      <c r="F86" s="30" t="s">
        <v>309</v>
      </c>
      <c r="G86" s="30" t="s">
        <v>308</v>
      </c>
      <c r="H86" s="31">
        <v>0</v>
      </c>
      <c r="I86" s="28" t="s">
        <v>9</v>
      </c>
      <c r="J86" s="7" t="s">
        <v>307</v>
      </c>
      <c r="K86" s="1" t="s">
        <v>800</v>
      </c>
    </row>
    <row r="87" spans="1:11" ht="18.45">
      <c r="A87" s="26">
        <v>45957</v>
      </c>
      <c r="B87" s="27"/>
      <c r="C87" s="28" t="s">
        <v>228</v>
      </c>
      <c r="D87" s="28" t="s">
        <v>151</v>
      </c>
      <c r="E87" s="29">
        <v>30</v>
      </c>
      <c r="F87" s="30" t="s">
        <v>229</v>
      </c>
      <c r="G87" s="30" t="s">
        <v>230</v>
      </c>
      <c r="H87" s="31">
        <v>1500</v>
      </c>
      <c r="I87" s="28" t="s">
        <v>9</v>
      </c>
      <c r="J87" s="6" t="s">
        <v>231</v>
      </c>
      <c r="K87" s="1" t="s">
        <v>800</v>
      </c>
    </row>
    <row r="88" spans="1:11" ht="18.45">
      <c r="A88" s="26">
        <v>45958</v>
      </c>
      <c r="B88" s="27" t="str">
        <f>TEXT(A88,"aaa")</f>
        <v>火</v>
      </c>
      <c r="C88" s="28" t="s">
        <v>232</v>
      </c>
      <c r="D88" s="28" t="s">
        <v>170</v>
      </c>
      <c r="E88" s="29">
        <v>80</v>
      </c>
      <c r="F88" s="30" t="s">
        <v>233</v>
      </c>
      <c r="G88" s="30" t="s">
        <v>195</v>
      </c>
      <c r="H88" s="33">
        <v>6000</v>
      </c>
      <c r="I88" s="28" t="s">
        <v>31</v>
      </c>
      <c r="J88" s="7" t="s">
        <v>191</v>
      </c>
      <c r="K88" s="1" t="s">
        <v>800</v>
      </c>
    </row>
    <row r="89" spans="1:11" ht="18.45">
      <c r="A89" s="26">
        <v>45958</v>
      </c>
      <c r="B89" s="27"/>
      <c r="C89" s="38" t="s">
        <v>66</v>
      </c>
      <c r="D89" s="38" t="s">
        <v>305</v>
      </c>
      <c r="E89" s="39">
        <v>30</v>
      </c>
      <c r="F89" s="40" t="s">
        <v>39</v>
      </c>
      <c r="G89" s="40" t="s">
        <v>48</v>
      </c>
      <c r="H89" s="32">
        <v>3000</v>
      </c>
      <c r="I89" s="38" t="s">
        <v>9</v>
      </c>
      <c r="J89" s="6" t="s">
        <v>304</v>
      </c>
      <c r="K89" s="1" t="s">
        <v>800</v>
      </c>
    </row>
    <row r="90" spans="1:11" ht="18.45">
      <c r="A90" s="26">
        <v>45958</v>
      </c>
      <c r="B90" s="27"/>
      <c r="C90" s="28" t="s">
        <v>303</v>
      </c>
      <c r="D90" s="28" t="s">
        <v>279</v>
      </c>
      <c r="E90" s="29">
        <v>50</v>
      </c>
      <c r="F90" s="30" t="s">
        <v>15</v>
      </c>
      <c r="G90" s="30" t="s">
        <v>10</v>
      </c>
      <c r="H90" s="33">
        <v>3000</v>
      </c>
      <c r="I90" s="28" t="s">
        <v>11</v>
      </c>
      <c r="J90" s="7" t="s">
        <v>33</v>
      </c>
      <c r="K90" s="1" t="s">
        <v>800</v>
      </c>
    </row>
    <row r="91" spans="1:11" ht="18.45">
      <c r="A91" s="26">
        <v>45958</v>
      </c>
      <c r="B91" s="27"/>
      <c r="C91" s="28" t="s">
        <v>232</v>
      </c>
      <c r="D91" s="28" t="s">
        <v>170</v>
      </c>
      <c r="E91" s="29">
        <v>80</v>
      </c>
      <c r="F91" s="30" t="s">
        <v>233</v>
      </c>
      <c r="G91" s="30" t="s">
        <v>195</v>
      </c>
      <c r="H91" s="33">
        <v>6000</v>
      </c>
      <c r="I91" s="28" t="s">
        <v>31</v>
      </c>
      <c r="J91" s="7" t="s">
        <v>191</v>
      </c>
      <c r="K91" s="1" t="s">
        <v>800</v>
      </c>
    </row>
    <row r="92" spans="1:11" ht="18.45">
      <c r="A92" s="26">
        <v>45959</v>
      </c>
      <c r="B92" s="27" t="str">
        <f>TEXT(A92,"aaa")</f>
        <v>水</v>
      </c>
      <c r="C92" s="38" t="s">
        <v>12</v>
      </c>
      <c r="D92" s="38" t="s">
        <v>293</v>
      </c>
      <c r="E92" s="39">
        <v>40</v>
      </c>
      <c r="F92" s="40" t="s">
        <v>302</v>
      </c>
      <c r="G92" s="40" t="s">
        <v>48</v>
      </c>
      <c r="H92" s="32">
        <v>3000</v>
      </c>
      <c r="I92" s="38" t="s">
        <v>9</v>
      </c>
      <c r="J92" s="7" t="s">
        <v>301</v>
      </c>
      <c r="K92" s="1" t="s">
        <v>800</v>
      </c>
    </row>
    <row r="93" spans="1:11" ht="18.45">
      <c r="A93" s="26">
        <v>45959</v>
      </c>
      <c r="B93" s="27"/>
      <c r="C93" s="28" t="s">
        <v>232</v>
      </c>
      <c r="D93" s="28" t="s">
        <v>186</v>
      </c>
      <c r="E93" s="29">
        <v>80</v>
      </c>
      <c r="F93" s="30" t="s">
        <v>26</v>
      </c>
      <c r="G93" s="30" t="s">
        <v>105</v>
      </c>
      <c r="H93" s="31">
        <v>0</v>
      </c>
      <c r="I93" s="28" t="s">
        <v>9</v>
      </c>
      <c r="J93" s="7" t="s">
        <v>300</v>
      </c>
      <c r="K93" s="1" t="s">
        <v>800</v>
      </c>
    </row>
    <row r="94" spans="1:11" ht="18.45">
      <c r="A94" s="26">
        <v>45960</v>
      </c>
      <c r="B94" s="27" t="str">
        <f>TEXT(A94,"aaa")</f>
        <v>木</v>
      </c>
      <c r="C94" s="28" t="s">
        <v>201</v>
      </c>
      <c r="D94" s="28" t="s">
        <v>299</v>
      </c>
      <c r="E94" s="29">
        <v>80</v>
      </c>
      <c r="F94" s="30" t="s">
        <v>298</v>
      </c>
      <c r="G94" s="30" t="s">
        <v>297</v>
      </c>
      <c r="H94" s="31">
        <v>0</v>
      </c>
      <c r="I94" s="28" t="s">
        <v>168</v>
      </c>
      <c r="J94" s="6" t="s">
        <v>296</v>
      </c>
      <c r="K94" s="1" t="s">
        <v>800</v>
      </c>
    </row>
    <row r="95" spans="1:11" ht="18.45">
      <c r="A95" s="26">
        <v>45961</v>
      </c>
      <c r="B95" s="27" t="str">
        <f>TEXT(A95,"aaa")</f>
        <v>金</v>
      </c>
      <c r="C95" s="28" t="s">
        <v>66</v>
      </c>
      <c r="D95" s="28" t="s">
        <v>186</v>
      </c>
      <c r="E95" s="29">
        <v>35</v>
      </c>
      <c r="F95" s="30" t="s">
        <v>15</v>
      </c>
      <c r="G95" s="30" t="s">
        <v>10</v>
      </c>
      <c r="H95" s="33">
        <v>3000</v>
      </c>
      <c r="I95" s="28" t="s">
        <v>11</v>
      </c>
      <c r="J95" s="7" t="s">
        <v>33</v>
      </c>
      <c r="K95" s="1" t="s">
        <v>800</v>
      </c>
    </row>
    <row r="96" spans="1:11" ht="18.45">
      <c r="A96" s="26">
        <v>45966</v>
      </c>
      <c r="B96" s="27" t="str">
        <f>TEXT(A96,"aaa")</f>
        <v>水</v>
      </c>
      <c r="C96" s="38" t="s">
        <v>259</v>
      </c>
      <c r="D96" s="38" t="s">
        <v>295</v>
      </c>
      <c r="E96" s="39">
        <v>30</v>
      </c>
      <c r="F96" s="40" t="s">
        <v>39</v>
      </c>
      <c r="G96" s="40" t="s">
        <v>48</v>
      </c>
      <c r="H96" s="32">
        <v>3000</v>
      </c>
      <c r="I96" s="38" t="s">
        <v>9</v>
      </c>
      <c r="J96" s="6" t="s">
        <v>294</v>
      </c>
      <c r="K96" s="1" t="s">
        <v>800</v>
      </c>
    </row>
    <row r="97" spans="1:11" ht="18.45">
      <c r="A97" s="26">
        <v>45967</v>
      </c>
      <c r="B97" s="27" t="str">
        <f>TEXT(A97,"aaa")</f>
        <v>木</v>
      </c>
      <c r="C97" s="38" t="s">
        <v>12</v>
      </c>
      <c r="D97" s="38" t="s">
        <v>293</v>
      </c>
      <c r="E97" s="39">
        <v>30</v>
      </c>
      <c r="F97" s="40" t="s">
        <v>39</v>
      </c>
      <c r="G97" s="40" t="s">
        <v>48</v>
      </c>
      <c r="H97" s="32">
        <v>3000</v>
      </c>
      <c r="I97" s="38" t="s">
        <v>9</v>
      </c>
      <c r="J97" s="6" t="s">
        <v>292</v>
      </c>
      <c r="K97" s="1" t="s">
        <v>800</v>
      </c>
    </row>
    <row r="98" spans="1:11" ht="18.45">
      <c r="A98" s="26">
        <v>45968</v>
      </c>
      <c r="B98" s="27" t="str">
        <f t="shared" si="10"/>
        <v>金</v>
      </c>
      <c r="C98" s="28" t="s">
        <v>12</v>
      </c>
      <c r="D98" s="28" t="s">
        <v>24</v>
      </c>
      <c r="E98" s="29">
        <v>50</v>
      </c>
      <c r="F98" s="30" t="s">
        <v>13</v>
      </c>
      <c r="G98" s="30" t="s">
        <v>14</v>
      </c>
      <c r="H98" s="31">
        <v>3000</v>
      </c>
      <c r="I98" s="28" t="s">
        <v>31</v>
      </c>
      <c r="J98" s="7" t="s">
        <v>23</v>
      </c>
      <c r="K98" s="1" t="s">
        <v>800</v>
      </c>
    </row>
    <row r="99" spans="1:11" ht="18.45">
      <c r="A99" s="26">
        <v>45968</v>
      </c>
      <c r="B99" s="27"/>
      <c r="C99" s="28" t="s">
        <v>207</v>
      </c>
      <c r="D99" s="28" t="s">
        <v>234</v>
      </c>
      <c r="E99" s="29">
        <v>50</v>
      </c>
      <c r="F99" s="30" t="s">
        <v>235</v>
      </c>
      <c r="G99" s="30" t="s">
        <v>195</v>
      </c>
      <c r="H99" s="33">
        <v>0</v>
      </c>
      <c r="I99" s="28" t="s">
        <v>31</v>
      </c>
      <c r="J99" s="7" t="s">
        <v>191</v>
      </c>
      <c r="K99" s="1" t="s">
        <v>800</v>
      </c>
    </row>
    <row r="100" spans="1:11" ht="18.45">
      <c r="A100" s="26">
        <v>45968</v>
      </c>
      <c r="B100" s="27"/>
      <c r="C100" s="28" t="s">
        <v>160</v>
      </c>
      <c r="D100" s="28" t="s">
        <v>291</v>
      </c>
      <c r="E100" s="29">
        <v>150</v>
      </c>
      <c r="F100" s="30" t="s">
        <v>290</v>
      </c>
      <c r="G100" s="30" t="s">
        <v>105</v>
      </c>
      <c r="H100" s="33">
        <v>0</v>
      </c>
      <c r="I100" s="28" t="s">
        <v>168</v>
      </c>
      <c r="J100" s="6" t="s">
        <v>289</v>
      </c>
      <c r="K100" s="1" t="s">
        <v>800</v>
      </c>
    </row>
    <row r="101" spans="1:11" ht="18.45">
      <c r="A101" s="26">
        <v>45971</v>
      </c>
      <c r="B101" s="27" t="str">
        <f t="shared" si="10"/>
        <v>月</v>
      </c>
      <c r="C101" s="28" t="s">
        <v>213</v>
      </c>
      <c r="D101" s="28" t="s">
        <v>186</v>
      </c>
      <c r="E101" s="29">
        <v>15</v>
      </c>
      <c r="F101" s="30" t="s">
        <v>224</v>
      </c>
      <c r="G101" s="30" t="s">
        <v>195</v>
      </c>
      <c r="H101" s="33">
        <v>0</v>
      </c>
      <c r="I101" s="28" t="s">
        <v>31</v>
      </c>
      <c r="J101" s="7" t="s">
        <v>191</v>
      </c>
      <c r="K101" s="1" t="s">
        <v>800</v>
      </c>
    </row>
    <row r="102" spans="1:11" ht="18.45">
      <c r="A102" s="26">
        <v>45972</v>
      </c>
      <c r="B102" s="27" t="str">
        <f t="shared" si="10"/>
        <v>火</v>
      </c>
      <c r="C102" s="28" t="s">
        <v>236</v>
      </c>
      <c r="D102" s="28" t="s">
        <v>237</v>
      </c>
      <c r="E102" s="29">
        <v>270</v>
      </c>
      <c r="F102" s="30" t="s">
        <v>13</v>
      </c>
      <c r="G102" s="30" t="s">
        <v>238</v>
      </c>
      <c r="H102" s="33">
        <v>2000</v>
      </c>
      <c r="I102" s="28" t="s">
        <v>168</v>
      </c>
      <c r="J102" s="7" t="s">
        <v>239</v>
      </c>
      <c r="K102" s="1" t="s">
        <v>800</v>
      </c>
    </row>
    <row r="103" spans="1:11" ht="18.45">
      <c r="A103" s="26">
        <v>45973</v>
      </c>
      <c r="B103" s="27" t="str">
        <f>TEXT(A103,"aaa")</f>
        <v>水</v>
      </c>
      <c r="C103" s="28" t="s">
        <v>222</v>
      </c>
      <c r="D103" s="28" t="s">
        <v>155</v>
      </c>
      <c r="E103" s="29">
        <v>30</v>
      </c>
      <c r="F103" s="30" t="s">
        <v>20</v>
      </c>
      <c r="G103" s="30" t="s">
        <v>156</v>
      </c>
      <c r="H103" s="31">
        <v>3000</v>
      </c>
      <c r="I103" s="28" t="s">
        <v>9</v>
      </c>
      <c r="J103" s="7" t="s">
        <v>288</v>
      </c>
      <c r="K103" s="1" t="s">
        <v>800</v>
      </c>
    </row>
    <row r="104" spans="1:11" ht="18.45">
      <c r="A104" s="26">
        <v>45974</v>
      </c>
      <c r="B104" s="27" t="str">
        <f t="shared" si="10"/>
        <v>木</v>
      </c>
      <c r="C104" s="28" t="s">
        <v>215</v>
      </c>
      <c r="D104" s="28" t="s">
        <v>240</v>
      </c>
      <c r="E104" s="29"/>
      <c r="F104" s="30" t="s">
        <v>235</v>
      </c>
      <c r="G104" s="30" t="s">
        <v>195</v>
      </c>
      <c r="H104" s="33">
        <v>0</v>
      </c>
      <c r="I104" s="28" t="s">
        <v>31</v>
      </c>
      <c r="J104" s="7" t="s">
        <v>191</v>
      </c>
      <c r="K104" s="1" t="s">
        <v>800</v>
      </c>
    </row>
    <row r="105" spans="1:11" ht="18.45">
      <c r="A105" s="26">
        <v>45974</v>
      </c>
      <c r="B105" s="27"/>
      <c r="C105" s="28" t="s">
        <v>12</v>
      </c>
      <c r="D105" s="28" t="s">
        <v>38</v>
      </c>
      <c r="E105" s="29">
        <v>50</v>
      </c>
      <c r="F105" s="30" t="s">
        <v>15</v>
      </c>
      <c r="G105" s="30" t="s">
        <v>64</v>
      </c>
      <c r="H105" s="31">
        <v>3000</v>
      </c>
      <c r="I105" s="28" t="s">
        <v>9</v>
      </c>
      <c r="J105" s="7" t="s">
        <v>287</v>
      </c>
      <c r="K105" s="1" t="s">
        <v>800</v>
      </c>
    </row>
    <row r="106" spans="1:11" ht="18.45">
      <c r="A106" s="26">
        <v>45974</v>
      </c>
      <c r="B106" s="27"/>
      <c r="C106" s="28" t="s">
        <v>286</v>
      </c>
      <c r="D106" s="28" t="s">
        <v>285</v>
      </c>
      <c r="E106" s="29">
        <v>50</v>
      </c>
      <c r="F106" s="30" t="s">
        <v>284</v>
      </c>
      <c r="G106" s="30" t="s">
        <v>283</v>
      </c>
      <c r="H106" s="33">
        <v>1000</v>
      </c>
      <c r="I106" s="28" t="s">
        <v>9</v>
      </c>
      <c r="J106" s="6" t="s">
        <v>282</v>
      </c>
      <c r="K106" s="1" t="s">
        <v>800</v>
      </c>
    </row>
    <row r="107" spans="1:11" ht="18.45">
      <c r="A107" s="26">
        <v>45974</v>
      </c>
      <c r="B107" s="27"/>
      <c r="C107" s="38" t="s">
        <v>273</v>
      </c>
      <c r="D107" s="38" t="s">
        <v>186</v>
      </c>
      <c r="E107" s="39">
        <v>30</v>
      </c>
      <c r="F107" s="40" t="s">
        <v>39</v>
      </c>
      <c r="G107" s="40" t="s">
        <v>48</v>
      </c>
      <c r="H107" s="32">
        <v>3000</v>
      </c>
      <c r="I107" s="38" t="s">
        <v>9</v>
      </c>
      <c r="J107" s="6" t="s">
        <v>281</v>
      </c>
      <c r="K107" s="1" t="s">
        <v>800</v>
      </c>
    </row>
    <row r="108" spans="1:11" ht="18.45">
      <c r="A108" s="26">
        <v>45974</v>
      </c>
      <c r="B108" s="27"/>
      <c r="C108" s="28" t="s">
        <v>280</v>
      </c>
      <c r="D108" s="28" t="s">
        <v>279</v>
      </c>
      <c r="E108" s="29">
        <v>50</v>
      </c>
      <c r="F108" s="30" t="s">
        <v>278</v>
      </c>
      <c r="G108" s="30" t="s">
        <v>277</v>
      </c>
      <c r="H108" s="33">
        <v>2000</v>
      </c>
      <c r="I108" s="28" t="s">
        <v>9</v>
      </c>
      <c r="J108" s="6" t="s">
        <v>276</v>
      </c>
      <c r="K108" s="1" t="s">
        <v>800</v>
      </c>
    </row>
    <row r="109" spans="1:11" ht="18.45">
      <c r="A109" s="26">
        <v>45978</v>
      </c>
      <c r="B109" s="27" t="str">
        <f>TEXT(A109,"aaa")</f>
        <v>月</v>
      </c>
      <c r="C109" s="28" t="s">
        <v>100</v>
      </c>
      <c r="D109" s="28" t="s">
        <v>241</v>
      </c>
      <c r="E109" s="29">
        <v>60</v>
      </c>
      <c r="F109" s="30" t="s">
        <v>242</v>
      </c>
      <c r="G109" s="30" t="s">
        <v>195</v>
      </c>
      <c r="H109" s="33">
        <v>4000</v>
      </c>
      <c r="I109" s="28" t="s">
        <v>31</v>
      </c>
      <c r="J109" s="7" t="s">
        <v>191</v>
      </c>
      <c r="K109" s="1" t="s">
        <v>800</v>
      </c>
    </row>
    <row r="110" spans="1:11" ht="18.45">
      <c r="A110" s="26">
        <v>45979</v>
      </c>
      <c r="B110" s="27" t="str">
        <f>TEXT(A110,"aaa")</f>
        <v>火</v>
      </c>
      <c r="C110" s="28" t="s">
        <v>220</v>
      </c>
      <c r="D110" s="28" t="s">
        <v>87</v>
      </c>
      <c r="E110" s="29"/>
      <c r="F110" s="30" t="s">
        <v>235</v>
      </c>
      <c r="G110" s="30" t="s">
        <v>195</v>
      </c>
      <c r="H110" s="33">
        <v>0</v>
      </c>
      <c r="I110" s="28" t="s">
        <v>31</v>
      </c>
      <c r="J110" s="7" t="s">
        <v>191</v>
      </c>
      <c r="K110" s="1" t="s">
        <v>800</v>
      </c>
    </row>
    <row r="111" spans="1:11" ht="18.45">
      <c r="A111" s="26">
        <v>45979</v>
      </c>
      <c r="B111" s="27"/>
      <c r="C111" s="28" t="s">
        <v>22</v>
      </c>
      <c r="D111" s="28" t="s">
        <v>188</v>
      </c>
      <c r="E111" s="29"/>
      <c r="F111" s="30" t="s">
        <v>51</v>
      </c>
      <c r="G111" s="30" t="s">
        <v>584</v>
      </c>
      <c r="H111" s="31">
        <v>0</v>
      </c>
      <c r="I111" s="28" t="s">
        <v>31</v>
      </c>
      <c r="J111" s="7" t="s">
        <v>32</v>
      </c>
      <c r="K111" s="1" t="s">
        <v>800</v>
      </c>
    </row>
    <row r="112" spans="1:11" ht="18.45">
      <c r="A112" s="26">
        <v>45979</v>
      </c>
      <c r="B112" s="27"/>
      <c r="C112" s="28" t="s">
        <v>82</v>
      </c>
      <c r="D112" s="28" t="s">
        <v>19</v>
      </c>
      <c r="E112" s="29">
        <v>70</v>
      </c>
      <c r="F112" s="30" t="s">
        <v>15</v>
      </c>
      <c r="G112" s="30" t="s">
        <v>83</v>
      </c>
      <c r="H112" s="31">
        <v>1000</v>
      </c>
      <c r="I112" s="28" t="s">
        <v>9</v>
      </c>
      <c r="J112" s="6" t="s">
        <v>275</v>
      </c>
      <c r="K112" s="1" t="s">
        <v>800</v>
      </c>
    </row>
    <row r="113" spans="1:11" ht="18.45">
      <c r="A113" s="26">
        <v>45980</v>
      </c>
      <c r="B113" s="27" t="str">
        <f>TEXT(A113,"aaa")</f>
        <v>水</v>
      </c>
      <c r="C113" s="38" t="s">
        <v>12</v>
      </c>
      <c r="D113" s="38" t="s">
        <v>188</v>
      </c>
      <c r="E113" s="39">
        <v>30</v>
      </c>
      <c r="F113" s="40" t="s">
        <v>39</v>
      </c>
      <c r="G113" s="40" t="s">
        <v>48</v>
      </c>
      <c r="H113" s="32">
        <v>3000</v>
      </c>
      <c r="I113" s="38" t="s">
        <v>9</v>
      </c>
      <c r="J113" s="6" t="s">
        <v>274</v>
      </c>
      <c r="K113" s="1" t="s">
        <v>800</v>
      </c>
    </row>
    <row r="114" spans="1:11" ht="18.45">
      <c r="A114" s="26">
        <v>45981</v>
      </c>
      <c r="B114" s="27" t="str">
        <f>TEXT(A114,"aaa")</f>
        <v>木</v>
      </c>
      <c r="C114" s="28" t="s">
        <v>174</v>
      </c>
      <c r="D114" s="28" t="s">
        <v>170</v>
      </c>
      <c r="E114" s="29">
        <v>15</v>
      </c>
      <c r="F114" s="30" t="s">
        <v>171</v>
      </c>
      <c r="G114" s="30" t="s">
        <v>172</v>
      </c>
      <c r="H114" s="33">
        <v>5500</v>
      </c>
      <c r="I114" s="28" t="s">
        <v>31</v>
      </c>
      <c r="J114" s="7" t="s">
        <v>173</v>
      </c>
      <c r="K114" s="1" t="s">
        <v>800</v>
      </c>
    </row>
    <row r="115" spans="1:11" ht="18.45">
      <c r="A115" s="26">
        <v>45981</v>
      </c>
      <c r="B115" s="27"/>
      <c r="C115" s="28" t="s">
        <v>207</v>
      </c>
      <c r="D115" s="28" t="s">
        <v>209</v>
      </c>
      <c r="E115" s="29"/>
      <c r="F115" s="30" t="s">
        <v>224</v>
      </c>
      <c r="G115" s="30" t="s">
        <v>195</v>
      </c>
      <c r="H115" s="33">
        <v>0</v>
      </c>
      <c r="I115" s="28" t="s">
        <v>31</v>
      </c>
      <c r="J115" s="7" t="s">
        <v>191</v>
      </c>
      <c r="K115" s="1" t="s">
        <v>800</v>
      </c>
    </row>
    <row r="116" spans="1:11" ht="18.45">
      <c r="A116" s="26">
        <v>45981</v>
      </c>
      <c r="B116" s="27"/>
      <c r="C116" s="38" t="s">
        <v>273</v>
      </c>
      <c r="D116" s="38" t="s">
        <v>209</v>
      </c>
      <c r="E116" s="39">
        <v>30</v>
      </c>
      <c r="F116" s="40" t="s">
        <v>39</v>
      </c>
      <c r="G116" s="40" t="s">
        <v>48</v>
      </c>
      <c r="H116" s="32">
        <v>3000</v>
      </c>
      <c r="I116" s="38" t="s">
        <v>9</v>
      </c>
      <c r="J116" s="6" t="s">
        <v>272</v>
      </c>
      <c r="K116" s="1" t="s">
        <v>800</v>
      </c>
    </row>
    <row r="117" spans="1:11" ht="18.45">
      <c r="A117" s="26">
        <v>45981</v>
      </c>
      <c r="B117" s="27"/>
      <c r="C117" s="28" t="s">
        <v>264</v>
      </c>
      <c r="D117" s="28" t="s">
        <v>186</v>
      </c>
      <c r="E117" s="29">
        <v>85</v>
      </c>
      <c r="F117" s="30" t="s">
        <v>34</v>
      </c>
      <c r="G117" s="30" t="s">
        <v>35</v>
      </c>
      <c r="H117" s="33">
        <v>0</v>
      </c>
      <c r="I117" s="28" t="s">
        <v>11</v>
      </c>
      <c r="J117" s="7" t="s">
        <v>36</v>
      </c>
      <c r="K117" s="1" t="s">
        <v>800</v>
      </c>
    </row>
    <row r="118" spans="1:11" ht="18.45">
      <c r="A118" s="26">
        <v>45982</v>
      </c>
      <c r="B118" s="27" t="str">
        <f>TEXT(A118,"aaa")</f>
        <v>金</v>
      </c>
      <c r="C118" s="28" t="s">
        <v>201</v>
      </c>
      <c r="D118" s="28" t="s">
        <v>271</v>
      </c>
      <c r="E118" s="29">
        <v>80</v>
      </c>
      <c r="F118" s="30" t="s">
        <v>13</v>
      </c>
      <c r="G118" s="30" t="s">
        <v>270</v>
      </c>
      <c r="H118" s="33">
        <v>0</v>
      </c>
      <c r="I118" s="28" t="s">
        <v>9</v>
      </c>
      <c r="J118" s="6" t="s">
        <v>269</v>
      </c>
      <c r="K118" s="1" t="s">
        <v>800</v>
      </c>
    </row>
    <row r="119" spans="1:11" ht="18.45">
      <c r="A119" s="26">
        <v>45982</v>
      </c>
      <c r="B119" s="27"/>
      <c r="C119" s="28" t="s">
        <v>189</v>
      </c>
      <c r="D119" s="28" t="s">
        <v>186</v>
      </c>
      <c r="E119" s="29">
        <v>35</v>
      </c>
      <c r="F119" s="30" t="s">
        <v>243</v>
      </c>
      <c r="G119" s="30" t="s">
        <v>195</v>
      </c>
      <c r="H119" s="33">
        <v>0</v>
      </c>
      <c r="I119" s="28" t="s">
        <v>31</v>
      </c>
      <c r="J119" s="7" t="s">
        <v>191</v>
      </c>
      <c r="K119" s="1" t="s">
        <v>800</v>
      </c>
    </row>
    <row r="120" spans="1:11" ht="18.45">
      <c r="A120" s="26">
        <v>45982</v>
      </c>
      <c r="B120" s="27"/>
      <c r="C120" s="28" t="s">
        <v>66</v>
      </c>
      <c r="D120" s="28" t="s">
        <v>144</v>
      </c>
      <c r="E120" s="29">
        <v>20</v>
      </c>
      <c r="F120" s="30" t="s">
        <v>235</v>
      </c>
      <c r="G120" s="30" t="s">
        <v>195</v>
      </c>
      <c r="H120" s="33">
        <v>0</v>
      </c>
      <c r="I120" s="28" t="s">
        <v>31</v>
      </c>
      <c r="J120" s="7" t="s">
        <v>191</v>
      </c>
      <c r="K120" s="1" t="s">
        <v>800</v>
      </c>
    </row>
    <row r="121" spans="1:11" ht="18.45">
      <c r="A121" s="26">
        <v>45982</v>
      </c>
      <c r="B121" s="27"/>
      <c r="C121" s="28" t="s">
        <v>160</v>
      </c>
      <c r="D121" s="28" t="s">
        <v>268</v>
      </c>
      <c r="E121" s="29">
        <v>50</v>
      </c>
      <c r="F121" s="30" t="s">
        <v>267</v>
      </c>
      <c r="G121" s="30" t="s">
        <v>266</v>
      </c>
      <c r="H121" s="31">
        <v>2000</v>
      </c>
      <c r="I121" s="28" t="s">
        <v>9</v>
      </c>
      <c r="J121" s="6" t="s">
        <v>265</v>
      </c>
      <c r="K121" s="1" t="s">
        <v>800</v>
      </c>
    </row>
    <row r="122" spans="1:11" ht="18.45">
      <c r="A122" s="26">
        <v>45982</v>
      </c>
      <c r="B122" s="27"/>
      <c r="C122" s="28" t="s">
        <v>185</v>
      </c>
      <c r="D122" s="28" t="s">
        <v>186</v>
      </c>
      <c r="E122" s="29"/>
      <c r="F122" s="30" t="s">
        <v>140</v>
      </c>
      <c r="G122" s="30" t="s">
        <v>587</v>
      </c>
      <c r="H122" s="31"/>
      <c r="I122" s="28" t="s">
        <v>31</v>
      </c>
      <c r="J122" s="7" t="s">
        <v>141</v>
      </c>
      <c r="K122" s="1" t="s">
        <v>800</v>
      </c>
    </row>
    <row r="123" spans="1:11" ht="18.45">
      <c r="A123" s="26">
        <v>45987</v>
      </c>
      <c r="B123" s="27" t="str">
        <f t="shared" si="10"/>
        <v>水</v>
      </c>
      <c r="C123" s="28" t="s">
        <v>264</v>
      </c>
      <c r="D123" s="28" t="s">
        <v>144</v>
      </c>
      <c r="E123" s="29">
        <v>24</v>
      </c>
      <c r="F123" s="30" t="s">
        <v>34</v>
      </c>
      <c r="G123" s="30" t="s">
        <v>35</v>
      </c>
      <c r="H123" s="33">
        <v>0</v>
      </c>
      <c r="I123" s="28" t="s">
        <v>11</v>
      </c>
      <c r="J123" s="7" t="s">
        <v>36</v>
      </c>
      <c r="K123" s="1" t="s">
        <v>800</v>
      </c>
    </row>
    <row r="124" spans="1:11" ht="18.45">
      <c r="A124" s="26">
        <v>45996</v>
      </c>
      <c r="B124" s="27" t="str">
        <f t="shared" si="10"/>
        <v>金</v>
      </c>
      <c r="C124" s="28" t="s">
        <v>244</v>
      </c>
      <c r="D124" s="28" t="s">
        <v>186</v>
      </c>
      <c r="E124" s="29">
        <v>35</v>
      </c>
      <c r="F124" s="30" t="s">
        <v>224</v>
      </c>
      <c r="G124" s="30" t="s">
        <v>195</v>
      </c>
      <c r="H124" s="33">
        <v>0</v>
      </c>
      <c r="I124" s="28" t="s">
        <v>31</v>
      </c>
      <c r="J124" s="7" t="s">
        <v>191</v>
      </c>
      <c r="K124" s="1" t="s">
        <v>800</v>
      </c>
    </row>
    <row r="125" spans="1:11" ht="18.45">
      <c r="A125" s="26">
        <v>46000</v>
      </c>
      <c r="B125" s="27" t="str">
        <f t="shared" si="10"/>
        <v>火</v>
      </c>
      <c r="C125" s="28" t="s">
        <v>327</v>
      </c>
      <c r="D125" s="28" t="s">
        <v>151</v>
      </c>
      <c r="E125" s="29">
        <v>70</v>
      </c>
      <c r="F125" s="30" t="s">
        <v>328</v>
      </c>
      <c r="G125" s="30" t="s">
        <v>329</v>
      </c>
      <c r="H125" s="31">
        <v>3000</v>
      </c>
      <c r="I125" s="28" t="s">
        <v>168</v>
      </c>
      <c r="J125" s="6" t="s">
        <v>330</v>
      </c>
      <c r="K125" s="1" t="s">
        <v>800</v>
      </c>
    </row>
    <row r="126" spans="1:11" ht="18.45">
      <c r="A126" s="26">
        <v>46000</v>
      </c>
      <c r="B126" s="27"/>
      <c r="C126" s="28" t="s">
        <v>331</v>
      </c>
      <c r="D126" s="28" t="s">
        <v>332</v>
      </c>
      <c r="E126" s="29">
        <v>32</v>
      </c>
      <c r="F126" s="30" t="s">
        <v>126</v>
      </c>
      <c r="G126" s="30" t="s">
        <v>333</v>
      </c>
      <c r="H126" s="31">
        <v>3000</v>
      </c>
      <c r="I126" s="28" t="s">
        <v>168</v>
      </c>
      <c r="J126" s="6" t="s">
        <v>334</v>
      </c>
      <c r="K126" s="1" t="s">
        <v>800</v>
      </c>
    </row>
    <row r="127" spans="1:11" ht="18.45">
      <c r="A127" s="26">
        <v>46000</v>
      </c>
      <c r="B127" s="27"/>
      <c r="C127" s="28" t="s">
        <v>12</v>
      </c>
      <c r="D127" s="28" t="s">
        <v>186</v>
      </c>
      <c r="E127" s="29">
        <v>50</v>
      </c>
      <c r="F127" s="30" t="s">
        <v>13</v>
      </c>
      <c r="G127" s="30" t="s">
        <v>14</v>
      </c>
      <c r="H127" s="31">
        <v>3000</v>
      </c>
      <c r="I127" s="28" t="s">
        <v>31</v>
      </c>
      <c r="J127" s="6" t="s">
        <v>262</v>
      </c>
      <c r="K127" s="1" t="s">
        <v>800</v>
      </c>
    </row>
    <row r="128" spans="1:11" ht="18.45">
      <c r="A128" s="26">
        <v>46000</v>
      </c>
      <c r="B128" s="27"/>
      <c r="C128" s="28" t="s">
        <v>22</v>
      </c>
      <c r="D128" s="28" t="s">
        <v>335</v>
      </c>
      <c r="E128" s="29"/>
      <c r="F128" s="30" t="s">
        <v>51</v>
      </c>
      <c r="G128" s="30" t="s">
        <v>584</v>
      </c>
      <c r="H128" s="31">
        <v>0</v>
      </c>
      <c r="I128" s="28" t="s">
        <v>31</v>
      </c>
      <c r="J128" s="6" t="s">
        <v>32</v>
      </c>
      <c r="K128" s="1" t="s">
        <v>800</v>
      </c>
    </row>
    <row r="129" spans="1:11" ht="18.45">
      <c r="A129" s="26">
        <v>46001</v>
      </c>
      <c r="B129" s="27" t="str">
        <f t="shared" si="10"/>
        <v>水</v>
      </c>
      <c r="C129" s="28" t="s">
        <v>336</v>
      </c>
      <c r="D129" s="28" t="s">
        <v>148</v>
      </c>
      <c r="E129" s="29">
        <v>30</v>
      </c>
      <c r="F129" s="30" t="s">
        <v>146</v>
      </c>
      <c r="G129" s="30" t="s">
        <v>147</v>
      </c>
      <c r="H129" s="31">
        <v>0</v>
      </c>
      <c r="I129" s="28" t="s">
        <v>9</v>
      </c>
      <c r="J129" s="6" t="s">
        <v>337</v>
      </c>
      <c r="K129" s="1" t="s">
        <v>800</v>
      </c>
    </row>
    <row r="130" spans="1:11" ht="18.45">
      <c r="A130" s="26">
        <v>46001</v>
      </c>
      <c r="B130" s="27"/>
      <c r="C130" s="28" t="s">
        <v>338</v>
      </c>
      <c r="D130" s="28" t="s">
        <v>151</v>
      </c>
      <c r="E130" s="29">
        <v>150</v>
      </c>
      <c r="F130" s="30" t="s">
        <v>152</v>
      </c>
      <c r="G130" s="30" t="s">
        <v>339</v>
      </c>
      <c r="H130" s="31">
        <v>0</v>
      </c>
      <c r="I130" s="28" t="s">
        <v>168</v>
      </c>
      <c r="J130" s="6" t="s">
        <v>340</v>
      </c>
      <c r="K130" s="1" t="s">
        <v>800</v>
      </c>
    </row>
    <row r="131" spans="1:11" ht="18.45">
      <c r="A131" s="26">
        <v>46002</v>
      </c>
      <c r="B131" s="27" t="str">
        <f t="shared" si="10"/>
        <v>木</v>
      </c>
      <c r="C131" s="28" t="s">
        <v>245</v>
      </c>
      <c r="D131" s="28" t="s">
        <v>187</v>
      </c>
      <c r="E131" s="29">
        <v>35</v>
      </c>
      <c r="F131" s="30" t="s">
        <v>235</v>
      </c>
      <c r="G131" s="30" t="s">
        <v>195</v>
      </c>
      <c r="H131" s="31">
        <v>0</v>
      </c>
      <c r="I131" s="28" t="s">
        <v>31</v>
      </c>
      <c r="J131" s="7" t="s">
        <v>191</v>
      </c>
      <c r="K131" s="1" t="s">
        <v>800</v>
      </c>
    </row>
    <row r="132" spans="1:11" ht="18.45">
      <c r="A132" s="26">
        <v>46002</v>
      </c>
      <c r="B132" s="27"/>
      <c r="C132" s="28" t="s">
        <v>341</v>
      </c>
      <c r="D132" s="28" t="s">
        <v>186</v>
      </c>
      <c r="E132" s="29">
        <v>20</v>
      </c>
      <c r="F132" s="30" t="s">
        <v>13</v>
      </c>
      <c r="G132" s="30" t="s">
        <v>342</v>
      </c>
      <c r="H132" s="31">
        <v>0</v>
      </c>
      <c r="I132" s="28" t="s">
        <v>168</v>
      </c>
      <c r="J132" s="6" t="s">
        <v>343</v>
      </c>
      <c r="K132" s="1" t="s">
        <v>800</v>
      </c>
    </row>
    <row r="133" spans="1:11" ht="18.45">
      <c r="A133" s="26">
        <v>46002</v>
      </c>
      <c r="B133" s="27"/>
      <c r="C133" s="28" t="s">
        <v>344</v>
      </c>
      <c r="D133" s="28" t="s">
        <v>324</v>
      </c>
      <c r="E133" s="29">
        <v>25</v>
      </c>
      <c r="F133" s="30" t="s">
        <v>345</v>
      </c>
      <c r="G133" s="30" t="s">
        <v>346</v>
      </c>
      <c r="H133" s="31">
        <v>0</v>
      </c>
      <c r="I133" s="28" t="s">
        <v>168</v>
      </c>
      <c r="J133" s="6" t="s">
        <v>347</v>
      </c>
      <c r="K133" s="1" t="s">
        <v>800</v>
      </c>
    </row>
    <row r="134" spans="1:11" ht="18.45">
      <c r="A134" s="26">
        <v>46002</v>
      </c>
      <c r="B134" s="27"/>
      <c r="C134" s="28" t="s">
        <v>348</v>
      </c>
      <c r="D134" s="28" t="s">
        <v>285</v>
      </c>
      <c r="E134" s="29">
        <v>50</v>
      </c>
      <c r="F134" s="30" t="s">
        <v>13</v>
      </c>
      <c r="G134" s="30" t="s">
        <v>573</v>
      </c>
      <c r="H134" s="33">
        <v>1000</v>
      </c>
      <c r="I134" s="28" t="s">
        <v>168</v>
      </c>
      <c r="J134" s="6" t="s">
        <v>349</v>
      </c>
      <c r="K134" s="1" t="s">
        <v>800</v>
      </c>
    </row>
    <row r="135" spans="1:11" ht="18.45">
      <c r="A135" s="26">
        <v>46006</v>
      </c>
      <c r="B135" s="27" t="str">
        <f t="shared" si="10"/>
        <v>月</v>
      </c>
      <c r="C135" s="28" t="s">
        <v>47</v>
      </c>
      <c r="D135" s="28" t="s">
        <v>38</v>
      </c>
      <c r="E135" s="29">
        <v>60</v>
      </c>
      <c r="F135" s="30" t="s">
        <v>13</v>
      </c>
      <c r="G135" s="30" t="s">
        <v>571</v>
      </c>
      <c r="H135" s="31">
        <v>0</v>
      </c>
      <c r="I135" s="28" t="s">
        <v>9</v>
      </c>
      <c r="J135" s="7" t="s">
        <v>350</v>
      </c>
      <c r="K135" s="1" t="s">
        <v>800</v>
      </c>
    </row>
    <row r="136" spans="1:11" ht="18.45">
      <c r="A136" s="26">
        <v>46006</v>
      </c>
      <c r="B136" s="27"/>
      <c r="C136" s="28" t="s">
        <v>22</v>
      </c>
      <c r="D136" s="28" t="s">
        <v>279</v>
      </c>
      <c r="E136" s="29"/>
      <c r="F136" s="30" t="s">
        <v>51</v>
      </c>
      <c r="G136" s="30" t="s">
        <v>584</v>
      </c>
      <c r="H136" s="31">
        <v>0</v>
      </c>
      <c r="I136" s="28" t="s">
        <v>31</v>
      </c>
      <c r="J136" s="6" t="s">
        <v>32</v>
      </c>
      <c r="K136" s="1" t="s">
        <v>800</v>
      </c>
    </row>
    <row r="137" spans="1:11" ht="18.45">
      <c r="A137" s="26">
        <v>46007</v>
      </c>
      <c r="B137" s="27" t="str">
        <f t="shared" si="10"/>
        <v>火</v>
      </c>
      <c r="C137" s="28" t="s">
        <v>351</v>
      </c>
      <c r="D137" s="28" t="s">
        <v>291</v>
      </c>
      <c r="E137" s="29"/>
      <c r="F137" s="30" t="s">
        <v>93</v>
      </c>
      <c r="G137" s="30" t="s">
        <v>94</v>
      </c>
      <c r="H137" s="31">
        <v>0</v>
      </c>
      <c r="I137" s="28" t="s">
        <v>168</v>
      </c>
      <c r="J137" s="6" t="s">
        <v>352</v>
      </c>
      <c r="K137" s="1" t="s">
        <v>800</v>
      </c>
    </row>
    <row r="138" spans="1:11" ht="18.45">
      <c r="A138" s="26">
        <v>46007</v>
      </c>
      <c r="B138" s="27"/>
      <c r="C138" s="28" t="s">
        <v>353</v>
      </c>
      <c r="D138" s="28" t="s">
        <v>354</v>
      </c>
      <c r="E138" s="29">
        <v>80</v>
      </c>
      <c r="F138" s="30" t="s">
        <v>284</v>
      </c>
      <c r="G138" s="30"/>
      <c r="H138" s="33">
        <v>3000</v>
      </c>
      <c r="I138" s="28" t="s">
        <v>9</v>
      </c>
      <c r="J138" s="6" t="s">
        <v>355</v>
      </c>
      <c r="K138" s="1" t="s">
        <v>800</v>
      </c>
    </row>
    <row r="139" spans="1:11" ht="18.45">
      <c r="A139" s="26">
        <v>46007</v>
      </c>
      <c r="B139" s="27"/>
      <c r="C139" s="28" t="s">
        <v>356</v>
      </c>
      <c r="D139" s="28" t="s">
        <v>24</v>
      </c>
      <c r="E139" s="29">
        <v>70</v>
      </c>
      <c r="F139" s="30" t="s">
        <v>26</v>
      </c>
      <c r="G139" s="30" t="s">
        <v>105</v>
      </c>
      <c r="H139" s="31">
        <v>0</v>
      </c>
      <c r="I139" s="28" t="s">
        <v>9</v>
      </c>
      <c r="J139" s="6" t="s">
        <v>357</v>
      </c>
      <c r="K139" s="1" t="s">
        <v>800</v>
      </c>
    </row>
    <row r="140" spans="1:11" ht="18.45">
      <c r="A140" s="26">
        <v>46008</v>
      </c>
      <c r="B140" s="27" t="str">
        <f t="shared" si="10"/>
        <v>水</v>
      </c>
      <c r="C140" s="28" t="s">
        <v>259</v>
      </c>
      <c r="D140" s="28" t="s">
        <v>24</v>
      </c>
      <c r="E140" s="29">
        <v>35</v>
      </c>
      <c r="F140" s="30" t="s">
        <v>235</v>
      </c>
      <c r="G140" s="30" t="s">
        <v>195</v>
      </c>
      <c r="H140" s="31">
        <v>0</v>
      </c>
      <c r="I140" s="28" t="s">
        <v>31</v>
      </c>
      <c r="J140" s="7" t="s">
        <v>191</v>
      </c>
      <c r="K140" s="1" t="s">
        <v>800</v>
      </c>
    </row>
    <row r="141" spans="1:11" ht="18.45">
      <c r="A141" s="26">
        <v>46008</v>
      </c>
      <c r="B141" s="27"/>
      <c r="C141" s="28" t="s">
        <v>358</v>
      </c>
      <c r="D141" s="28" t="s">
        <v>324</v>
      </c>
      <c r="E141" s="29">
        <v>40</v>
      </c>
      <c r="F141" s="30" t="s">
        <v>15</v>
      </c>
      <c r="G141" s="30" t="s">
        <v>116</v>
      </c>
      <c r="H141" s="31">
        <v>3000</v>
      </c>
      <c r="I141" s="28" t="s">
        <v>9</v>
      </c>
      <c r="J141" s="6" t="s">
        <v>359</v>
      </c>
      <c r="K141" s="1" t="s">
        <v>800</v>
      </c>
    </row>
    <row r="142" spans="1:11" ht="18.45">
      <c r="A142" s="26">
        <v>46008</v>
      </c>
      <c r="B142" s="27"/>
      <c r="C142" s="28" t="s">
        <v>353</v>
      </c>
      <c r="D142" s="28" t="s">
        <v>360</v>
      </c>
      <c r="E142" s="29">
        <v>40</v>
      </c>
      <c r="F142" s="30" t="s">
        <v>361</v>
      </c>
      <c r="G142" s="30" t="s">
        <v>595</v>
      </c>
      <c r="H142" s="31">
        <v>0</v>
      </c>
      <c r="I142" s="28" t="s">
        <v>9</v>
      </c>
      <c r="J142" s="6" t="s">
        <v>362</v>
      </c>
      <c r="K142" s="1" t="s">
        <v>800</v>
      </c>
    </row>
    <row r="143" spans="1:11" ht="18.45">
      <c r="A143" s="26">
        <v>46008</v>
      </c>
      <c r="B143" s="27"/>
      <c r="C143" s="28" t="s">
        <v>220</v>
      </c>
      <c r="D143" s="28" t="s">
        <v>87</v>
      </c>
      <c r="E143" s="29"/>
      <c r="F143" s="30" t="s">
        <v>235</v>
      </c>
      <c r="G143" s="30" t="s">
        <v>195</v>
      </c>
      <c r="H143" s="31">
        <v>0</v>
      </c>
      <c r="I143" s="28" t="s">
        <v>31</v>
      </c>
      <c r="J143" s="7" t="s">
        <v>191</v>
      </c>
      <c r="K143" s="1" t="s">
        <v>800</v>
      </c>
    </row>
    <row r="144" spans="1:11" ht="18.45">
      <c r="A144" s="26">
        <v>46009</v>
      </c>
      <c r="B144" s="27" t="str">
        <f t="shared" ref="B144:B199" si="11">TEXT(A144,"aaa")</f>
        <v>木</v>
      </c>
      <c r="C144" s="38" t="s">
        <v>363</v>
      </c>
      <c r="D144" s="38" t="s">
        <v>279</v>
      </c>
      <c r="E144" s="39">
        <v>30</v>
      </c>
      <c r="F144" s="40" t="s">
        <v>364</v>
      </c>
      <c r="G144" s="40" t="s">
        <v>48</v>
      </c>
      <c r="H144" s="32">
        <v>3000</v>
      </c>
      <c r="I144" s="38" t="s">
        <v>9</v>
      </c>
      <c r="J144" s="6" t="s">
        <v>365</v>
      </c>
      <c r="K144" s="1" t="s">
        <v>800</v>
      </c>
    </row>
    <row r="145" spans="1:11" ht="18.45">
      <c r="A145" s="26">
        <v>46011</v>
      </c>
      <c r="B145" s="27" t="str">
        <f t="shared" si="11"/>
        <v>土</v>
      </c>
      <c r="C145" s="28" t="s">
        <v>372</v>
      </c>
      <c r="D145" s="28" t="s">
        <v>374</v>
      </c>
      <c r="E145" s="29">
        <v>40</v>
      </c>
      <c r="F145" s="30" t="s">
        <v>373</v>
      </c>
      <c r="G145" s="30" t="s">
        <v>375</v>
      </c>
      <c r="H145" s="31">
        <v>3000</v>
      </c>
      <c r="I145" s="28" t="s">
        <v>193</v>
      </c>
      <c r="J145" s="6" t="s">
        <v>376</v>
      </c>
      <c r="K145" s="1" t="s">
        <v>800</v>
      </c>
    </row>
    <row r="146" spans="1:11" ht="18.45">
      <c r="A146" s="26">
        <v>46014</v>
      </c>
      <c r="B146" s="27" t="str">
        <f t="shared" si="11"/>
        <v>火</v>
      </c>
      <c r="C146" s="28" t="s">
        <v>207</v>
      </c>
      <c r="D146" s="28" t="s">
        <v>209</v>
      </c>
      <c r="E146" s="29"/>
      <c r="F146" s="30" t="s">
        <v>224</v>
      </c>
      <c r="G146" s="30" t="s">
        <v>195</v>
      </c>
      <c r="H146" s="31">
        <v>0</v>
      </c>
      <c r="I146" s="28" t="s">
        <v>31</v>
      </c>
      <c r="J146" s="7" t="s">
        <v>191</v>
      </c>
      <c r="K146" s="1" t="s">
        <v>800</v>
      </c>
    </row>
    <row r="147" spans="1:11" ht="18.45">
      <c r="A147" s="26">
        <v>46014</v>
      </c>
      <c r="B147" s="27"/>
      <c r="C147" s="28" t="s">
        <v>366</v>
      </c>
      <c r="D147" s="28" t="s">
        <v>279</v>
      </c>
      <c r="E147" s="29">
        <v>60</v>
      </c>
      <c r="F147" s="30" t="s">
        <v>152</v>
      </c>
      <c r="G147" s="30" t="s">
        <v>10</v>
      </c>
      <c r="H147" s="31">
        <v>3000</v>
      </c>
      <c r="I147" s="28" t="s">
        <v>11</v>
      </c>
      <c r="J147" s="7" t="s">
        <v>33</v>
      </c>
      <c r="K147" s="1" t="s">
        <v>800</v>
      </c>
    </row>
    <row r="148" spans="1:11" ht="18.45">
      <c r="A148" s="26">
        <v>46015</v>
      </c>
      <c r="B148" s="27" t="str">
        <f t="shared" si="11"/>
        <v>水</v>
      </c>
      <c r="C148" s="28" t="s">
        <v>351</v>
      </c>
      <c r="D148" s="28" t="s">
        <v>291</v>
      </c>
      <c r="E148" s="29">
        <v>55</v>
      </c>
      <c r="F148" s="30" t="s">
        <v>93</v>
      </c>
      <c r="G148" s="30" t="s">
        <v>94</v>
      </c>
      <c r="H148" s="31">
        <v>0</v>
      </c>
      <c r="I148" s="28" t="s">
        <v>168</v>
      </c>
      <c r="J148" s="6" t="s">
        <v>367</v>
      </c>
      <c r="K148" s="1" t="s">
        <v>800</v>
      </c>
    </row>
    <row r="149" spans="1:11" ht="18.45">
      <c r="A149" s="26">
        <v>46016</v>
      </c>
      <c r="B149" s="27" t="str">
        <f t="shared" si="11"/>
        <v>木</v>
      </c>
      <c r="C149" s="28" t="s">
        <v>222</v>
      </c>
      <c r="D149" s="28" t="s">
        <v>241</v>
      </c>
      <c r="E149" s="29">
        <v>200</v>
      </c>
      <c r="F149" s="30" t="s">
        <v>41</v>
      </c>
      <c r="G149" s="30" t="s">
        <v>260</v>
      </c>
      <c r="H149" s="31">
        <v>0</v>
      </c>
      <c r="I149" s="28" t="s">
        <v>168</v>
      </c>
      <c r="J149" s="7" t="s">
        <v>261</v>
      </c>
      <c r="K149" s="1" t="s">
        <v>800</v>
      </c>
    </row>
    <row r="150" spans="1:11" ht="18.45">
      <c r="A150" s="26">
        <v>46035</v>
      </c>
      <c r="B150" s="27" t="str">
        <f t="shared" si="11"/>
        <v>火</v>
      </c>
      <c r="C150" s="28" t="s">
        <v>336</v>
      </c>
      <c r="D150" s="28" t="s">
        <v>151</v>
      </c>
      <c r="E150" s="29">
        <v>50</v>
      </c>
      <c r="F150" s="30" t="s">
        <v>377</v>
      </c>
      <c r="G150" s="30" t="s">
        <v>14</v>
      </c>
      <c r="H150" s="31">
        <v>3000</v>
      </c>
      <c r="I150" s="28" t="s">
        <v>11</v>
      </c>
      <c r="J150" s="6" t="s">
        <v>378</v>
      </c>
      <c r="K150" s="1" t="s">
        <v>800</v>
      </c>
    </row>
    <row r="151" spans="1:11" ht="18.45">
      <c r="A151" s="26">
        <v>46035</v>
      </c>
      <c r="B151" s="27"/>
      <c r="C151" s="28" t="s">
        <v>379</v>
      </c>
      <c r="D151" s="28" t="s">
        <v>151</v>
      </c>
      <c r="E151" s="29">
        <v>150</v>
      </c>
      <c r="F151" s="30" t="s">
        <v>13</v>
      </c>
      <c r="G151" s="30" t="s">
        <v>380</v>
      </c>
      <c r="H151" s="31">
        <v>0</v>
      </c>
      <c r="I151" s="28" t="s">
        <v>9</v>
      </c>
      <c r="J151" s="6" t="s">
        <v>381</v>
      </c>
      <c r="K151" s="1" t="s">
        <v>800</v>
      </c>
    </row>
    <row r="152" spans="1:11" ht="18.45">
      <c r="A152" s="26">
        <v>46036</v>
      </c>
      <c r="B152" s="27" t="str">
        <f t="shared" si="11"/>
        <v>水</v>
      </c>
      <c r="C152" s="28" t="s">
        <v>382</v>
      </c>
      <c r="D152" s="28" t="s">
        <v>285</v>
      </c>
      <c r="E152" s="29">
        <v>40</v>
      </c>
      <c r="F152" s="30" t="s">
        <v>13</v>
      </c>
      <c r="G152" s="30" t="s">
        <v>383</v>
      </c>
      <c r="H152" s="33">
        <v>1000</v>
      </c>
      <c r="I152" s="28" t="s">
        <v>9</v>
      </c>
      <c r="J152" s="6" t="s">
        <v>384</v>
      </c>
      <c r="K152" s="1" t="s">
        <v>800</v>
      </c>
    </row>
    <row r="153" spans="1:11" ht="18.45">
      <c r="A153" s="26">
        <v>46036</v>
      </c>
      <c r="B153" s="27"/>
      <c r="C153" s="28" t="s">
        <v>103</v>
      </c>
      <c r="D153" s="28" t="s">
        <v>155</v>
      </c>
      <c r="E153" s="29">
        <v>110</v>
      </c>
      <c r="F153" s="30" t="s">
        <v>34</v>
      </c>
      <c r="G153" s="30" t="s">
        <v>35</v>
      </c>
      <c r="H153" s="33">
        <v>0</v>
      </c>
      <c r="I153" s="28" t="s">
        <v>11</v>
      </c>
      <c r="J153" s="7" t="s">
        <v>36</v>
      </c>
      <c r="K153" s="1" t="s">
        <v>800</v>
      </c>
    </row>
    <row r="154" spans="1:11" ht="18.45">
      <c r="A154" s="26">
        <v>46037</v>
      </c>
      <c r="B154" s="27" t="str">
        <f t="shared" si="11"/>
        <v>木</v>
      </c>
      <c r="C154" s="38" t="s">
        <v>27</v>
      </c>
      <c r="D154" s="38" t="s">
        <v>29</v>
      </c>
      <c r="E154" s="39">
        <v>70</v>
      </c>
      <c r="F154" s="40" t="s">
        <v>368</v>
      </c>
      <c r="G154" s="40" t="s">
        <v>21</v>
      </c>
      <c r="H154" s="32">
        <v>3000</v>
      </c>
      <c r="I154" s="38" t="s">
        <v>9</v>
      </c>
      <c r="J154" s="6" t="s">
        <v>369</v>
      </c>
      <c r="K154" s="1" t="s">
        <v>800</v>
      </c>
    </row>
    <row r="155" spans="1:11" ht="18.45">
      <c r="A155" s="26">
        <v>46038</v>
      </c>
      <c r="B155" s="27" t="str">
        <f t="shared" si="11"/>
        <v>金</v>
      </c>
      <c r="C155" s="38" t="s">
        <v>385</v>
      </c>
      <c r="D155" s="38" t="s">
        <v>386</v>
      </c>
      <c r="E155" s="39">
        <v>25</v>
      </c>
      <c r="F155" s="40" t="s">
        <v>387</v>
      </c>
      <c r="G155" s="40" t="s">
        <v>578</v>
      </c>
      <c r="H155" s="33">
        <v>0</v>
      </c>
      <c r="I155" s="38" t="s">
        <v>9</v>
      </c>
      <c r="J155" s="6" t="s">
        <v>388</v>
      </c>
      <c r="K155" s="1" t="s">
        <v>800</v>
      </c>
    </row>
    <row r="156" spans="1:11" ht="18.45">
      <c r="A156" s="26">
        <v>46041</v>
      </c>
      <c r="B156" s="27" t="str">
        <f t="shared" si="11"/>
        <v>月</v>
      </c>
      <c r="C156" s="28" t="s">
        <v>351</v>
      </c>
      <c r="D156" s="28" t="s">
        <v>155</v>
      </c>
      <c r="E156" s="29">
        <v>30</v>
      </c>
      <c r="F156" s="30" t="s">
        <v>20</v>
      </c>
      <c r="G156" s="30" t="s">
        <v>156</v>
      </c>
      <c r="H156" s="31">
        <v>2500</v>
      </c>
      <c r="I156" s="28" t="s">
        <v>9</v>
      </c>
      <c r="J156" s="7" t="s">
        <v>389</v>
      </c>
      <c r="K156" s="1" t="s">
        <v>800</v>
      </c>
    </row>
    <row r="157" spans="1:11" ht="18.45">
      <c r="A157" s="26">
        <v>46041</v>
      </c>
      <c r="B157" s="27"/>
      <c r="C157" s="28" t="s">
        <v>336</v>
      </c>
      <c r="D157" s="28" t="s">
        <v>24</v>
      </c>
      <c r="E157" s="29">
        <v>50</v>
      </c>
      <c r="F157" s="30" t="s">
        <v>377</v>
      </c>
      <c r="G157" s="30" t="s">
        <v>14</v>
      </c>
      <c r="H157" s="31">
        <v>3000</v>
      </c>
      <c r="I157" s="28" t="s">
        <v>11</v>
      </c>
      <c r="J157" s="6" t="s">
        <v>390</v>
      </c>
      <c r="K157" s="1" t="s">
        <v>800</v>
      </c>
    </row>
    <row r="158" spans="1:11" ht="18.45">
      <c r="A158" s="26">
        <v>46041</v>
      </c>
      <c r="B158" s="27"/>
      <c r="C158" s="28" t="s">
        <v>391</v>
      </c>
      <c r="D158" s="28" t="s">
        <v>151</v>
      </c>
      <c r="E158" s="29">
        <v>60</v>
      </c>
      <c r="F158" s="30" t="s">
        <v>13</v>
      </c>
      <c r="G158" s="30" t="s">
        <v>586</v>
      </c>
      <c r="H158" s="31">
        <v>0</v>
      </c>
      <c r="I158" s="28" t="s">
        <v>9</v>
      </c>
      <c r="J158" s="6" t="s">
        <v>392</v>
      </c>
      <c r="K158" s="1" t="s">
        <v>800</v>
      </c>
    </row>
    <row r="159" spans="1:11" ht="18.45">
      <c r="A159" s="26">
        <v>46042</v>
      </c>
      <c r="B159" s="27" t="str">
        <f t="shared" si="11"/>
        <v>火</v>
      </c>
      <c r="C159" s="28" t="s">
        <v>393</v>
      </c>
      <c r="D159" s="28" t="s">
        <v>24</v>
      </c>
      <c r="E159" s="29">
        <v>50</v>
      </c>
      <c r="F159" s="30" t="s">
        <v>394</v>
      </c>
      <c r="G159" s="30" t="s">
        <v>105</v>
      </c>
      <c r="H159" s="31">
        <v>0</v>
      </c>
      <c r="I159" s="28" t="s">
        <v>9</v>
      </c>
      <c r="J159" s="6" t="s">
        <v>395</v>
      </c>
      <c r="K159" s="1" t="s">
        <v>800</v>
      </c>
    </row>
    <row r="160" spans="1:11" ht="18.45">
      <c r="A160" s="26">
        <v>46042</v>
      </c>
      <c r="B160" s="27"/>
      <c r="C160" s="28" t="s">
        <v>396</v>
      </c>
      <c r="D160" s="28" t="s">
        <v>354</v>
      </c>
      <c r="E160" s="29">
        <v>10</v>
      </c>
      <c r="F160" s="30" t="s">
        <v>397</v>
      </c>
      <c r="G160" s="30" t="s">
        <v>398</v>
      </c>
      <c r="H160" s="31">
        <v>5000</v>
      </c>
      <c r="I160" s="28" t="s">
        <v>9</v>
      </c>
      <c r="J160" s="6" t="s">
        <v>399</v>
      </c>
      <c r="K160" s="1" t="s">
        <v>800</v>
      </c>
    </row>
    <row r="161" spans="1:11" ht="18.45">
      <c r="A161" s="26">
        <v>46043</v>
      </c>
      <c r="B161" s="27" t="str">
        <f t="shared" si="11"/>
        <v>水</v>
      </c>
      <c r="C161" s="38" t="s">
        <v>154</v>
      </c>
      <c r="D161" s="38" t="s">
        <v>151</v>
      </c>
      <c r="E161" s="39">
        <v>40</v>
      </c>
      <c r="F161" s="40" t="s">
        <v>400</v>
      </c>
      <c r="G161" s="40" t="s">
        <v>48</v>
      </c>
      <c r="H161" s="32">
        <v>3000</v>
      </c>
      <c r="I161" s="38" t="s">
        <v>9</v>
      </c>
      <c r="J161" s="6" t="s">
        <v>401</v>
      </c>
      <c r="K161" s="1" t="s">
        <v>800</v>
      </c>
    </row>
    <row r="162" spans="1:11" ht="18.45">
      <c r="A162" s="26">
        <v>46043</v>
      </c>
      <c r="B162" s="27"/>
      <c r="C162" s="38" t="s">
        <v>336</v>
      </c>
      <c r="D162" s="38" t="s">
        <v>148</v>
      </c>
      <c r="E162" s="39">
        <v>25</v>
      </c>
      <c r="F162" s="40" t="s">
        <v>402</v>
      </c>
      <c r="G162" s="40" t="s">
        <v>147</v>
      </c>
      <c r="H162" s="42">
        <v>0</v>
      </c>
      <c r="I162" s="38" t="s">
        <v>9</v>
      </c>
      <c r="J162" s="10" t="s">
        <v>403</v>
      </c>
      <c r="K162" s="1" t="s">
        <v>800</v>
      </c>
    </row>
    <row r="163" spans="1:11" ht="18.45">
      <c r="A163" s="26">
        <v>46043</v>
      </c>
      <c r="B163" s="27"/>
      <c r="C163" s="38" t="s">
        <v>12</v>
      </c>
      <c r="D163" s="38" t="s">
        <v>324</v>
      </c>
      <c r="E163" s="39">
        <v>50</v>
      </c>
      <c r="F163" s="40" t="s">
        <v>404</v>
      </c>
      <c r="G163" s="40" t="s">
        <v>116</v>
      </c>
      <c r="H163" s="42">
        <v>3000</v>
      </c>
      <c r="I163" s="38" t="s">
        <v>9</v>
      </c>
      <c r="J163" s="10" t="s">
        <v>405</v>
      </c>
      <c r="K163" s="1" t="s">
        <v>800</v>
      </c>
    </row>
    <row r="164" spans="1:11" ht="18.45">
      <c r="A164" s="26">
        <v>46043</v>
      </c>
      <c r="B164" s="27"/>
      <c r="C164" s="34" t="s">
        <v>393</v>
      </c>
      <c r="D164" s="34" t="s">
        <v>406</v>
      </c>
      <c r="E164" s="35">
        <v>50</v>
      </c>
      <c r="F164" s="36" t="s">
        <v>394</v>
      </c>
      <c r="G164" s="36" t="s">
        <v>105</v>
      </c>
      <c r="H164" s="41">
        <v>0</v>
      </c>
      <c r="I164" s="38" t="s">
        <v>9</v>
      </c>
      <c r="J164" s="11" t="s">
        <v>407</v>
      </c>
      <c r="K164" s="1" t="s">
        <v>800</v>
      </c>
    </row>
    <row r="165" spans="1:11" ht="18.45">
      <c r="A165" s="26">
        <v>46043</v>
      </c>
      <c r="B165" s="27"/>
      <c r="C165" s="28" t="s">
        <v>409</v>
      </c>
      <c r="D165" s="28" t="s">
        <v>314</v>
      </c>
      <c r="E165" s="29"/>
      <c r="F165" s="30" t="s">
        <v>410</v>
      </c>
      <c r="G165" s="30" t="s">
        <v>587</v>
      </c>
      <c r="H165" s="33">
        <v>5000</v>
      </c>
      <c r="I165" s="28" t="s">
        <v>31</v>
      </c>
      <c r="J165" s="6" t="s">
        <v>411</v>
      </c>
      <c r="K165" s="1" t="s">
        <v>800</v>
      </c>
    </row>
    <row r="166" spans="1:11" ht="18.45">
      <c r="A166" s="26">
        <v>46043</v>
      </c>
      <c r="B166" s="27"/>
      <c r="C166" s="28" t="s">
        <v>412</v>
      </c>
      <c r="D166" s="28" t="s">
        <v>151</v>
      </c>
      <c r="E166" s="29"/>
      <c r="F166" s="30" t="s">
        <v>51</v>
      </c>
      <c r="G166" s="30" t="s">
        <v>584</v>
      </c>
      <c r="H166" s="31">
        <v>0</v>
      </c>
      <c r="I166" s="28" t="s">
        <v>31</v>
      </c>
      <c r="J166" s="6" t="s">
        <v>32</v>
      </c>
      <c r="K166" s="1" t="s">
        <v>800</v>
      </c>
    </row>
    <row r="167" spans="1:11" ht="18.45">
      <c r="A167" s="26">
        <v>46043</v>
      </c>
      <c r="B167" s="27"/>
      <c r="C167" s="28" t="s">
        <v>396</v>
      </c>
      <c r="D167" s="28" t="s">
        <v>155</v>
      </c>
      <c r="E167" s="29">
        <v>100</v>
      </c>
      <c r="F167" s="30" t="s">
        <v>413</v>
      </c>
      <c r="G167" s="30" t="s">
        <v>414</v>
      </c>
      <c r="H167" s="31">
        <v>0</v>
      </c>
      <c r="I167" s="28" t="s">
        <v>9</v>
      </c>
      <c r="J167" s="7" t="s">
        <v>415</v>
      </c>
      <c r="K167" s="1" t="s">
        <v>800</v>
      </c>
    </row>
    <row r="168" spans="1:11" ht="18.45">
      <c r="A168" s="26">
        <v>46044</v>
      </c>
      <c r="B168" s="27" t="str">
        <f t="shared" si="11"/>
        <v>木</v>
      </c>
      <c r="C168" s="28" t="s">
        <v>416</v>
      </c>
      <c r="D168" s="28" t="s">
        <v>354</v>
      </c>
      <c r="E168" s="29">
        <v>30</v>
      </c>
      <c r="F168" s="30" t="s">
        <v>77</v>
      </c>
      <c r="G168" s="30"/>
      <c r="H168" s="31">
        <v>0</v>
      </c>
      <c r="I168" s="28" t="s">
        <v>9</v>
      </c>
      <c r="J168" s="7" t="s">
        <v>417</v>
      </c>
      <c r="K168" s="1" t="s">
        <v>800</v>
      </c>
    </row>
    <row r="169" spans="1:11" ht="18.45">
      <c r="A169" s="26">
        <v>46044</v>
      </c>
      <c r="B169" s="27"/>
      <c r="C169" s="28" t="s">
        <v>336</v>
      </c>
      <c r="D169" s="28" t="s">
        <v>151</v>
      </c>
      <c r="E169" s="29">
        <v>50</v>
      </c>
      <c r="F169" s="30" t="s">
        <v>13</v>
      </c>
      <c r="G169" s="30" t="s">
        <v>64</v>
      </c>
      <c r="H169" s="31">
        <v>3000</v>
      </c>
      <c r="I169" s="28" t="s">
        <v>9</v>
      </c>
      <c r="J169" s="6" t="s">
        <v>418</v>
      </c>
      <c r="K169" s="1" t="s">
        <v>800</v>
      </c>
    </row>
    <row r="170" spans="1:11" ht="18.45">
      <c r="A170" s="26">
        <v>46044</v>
      </c>
      <c r="B170" s="27"/>
      <c r="C170" s="38" t="s">
        <v>250</v>
      </c>
      <c r="D170" s="28" t="s">
        <v>211</v>
      </c>
      <c r="E170" s="29">
        <v>30</v>
      </c>
      <c r="F170" s="30" t="s">
        <v>370</v>
      </c>
      <c r="G170" s="38" t="s">
        <v>579</v>
      </c>
      <c r="H170" s="32">
        <v>3000</v>
      </c>
      <c r="I170" s="38" t="s">
        <v>9</v>
      </c>
      <c r="J170" s="7" t="s">
        <v>371</v>
      </c>
      <c r="K170" s="1" t="s">
        <v>800</v>
      </c>
    </row>
    <row r="171" spans="1:11" ht="18.45">
      <c r="A171" s="26">
        <v>46048</v>
      </c>
      <c r="B171" s="27" t="str">
        <f t="shared" si="11"/>
        <v>月</v>
      </c>
      <c r="C171" s="28" t="s">
        <v>341</v>
      </c>
      <c r="D171" s="28" t="s">
        <v>419</v>
      </c>
      <c r="E171" s="29">
        <v>100</v>
      </c>
      <c r="F171" s="30" t="s">
        <v>13</v>
      </c>
      <c r="G171" s="30" t="s">
        <v>308</v>
      </c>
      <c r="H171" s="31">
        <v>0</v>
      </c>
      <c r="I171" s="28" t="s">
        <v>9</v>
      </c>
      <c r="J171" s="7" t="s">
        <v>420</v>
      </c>
      <c r="K171" s="1" t="s">
        <v>800</v>
      </c>
    </row>
    <row r="172" spans="1:11" ht="18.45">
      <c r="A172" s="26">
        <v>46048</v>
      </c>
      <c r="B172" s="27"/>
      <c r="C172" s="28" t="s">
        <v>421</v>
      </c>
      <c r="D172" s="28" t="s">
        <v>24</v>
      </c>
      <c r="E172" s="29">
        <v>85</v>
      </c>
      <c r="F172" s="30" t="s">
        <v>34</v>
      </c>
      <c r="G172" s="30" t="s">
        <v>35</v>
      </c>
      <c r="H172" s="31">
        <v>0</v>
      </c>
      <c r="I172" s="28" t="s">
        <v>11</v>
      </c>
      <c r="J172" s="7" t="s">
        <v>36</v>
      </c>
      <c r="K172" s="1" t="s">
        <v>800</v>
      </c>
    </row>
    <row r="173" spans="1:11" ht="18.45">
      <c r="A173" s="26">
        <v>46049</v>
      </c>
      <c r="B173" s="27" t="str">
        <f t="shared" si="11"/>
        <v>火</v>
      </c>
      <c r="C173" s="28" t="s">
        <v>422</v>
      </c>
      <c r="D173" s="28" t="s">
        <v>151</v>
      </c>
      <c r="E173" s="29">
        <v>50</v>
      </c>
      <c r="F173" s="30" t="s">
        <v>423</v>
      </c>
      <c r="G173" s="30" t="s">
        <v>424</v>
      </c>
      <c r="H173" s="31">
        <v>0</v>
      </c>
      <c r="I173" s="28" t="s">
        <v>9</v>
      </c>
      <c r="J173" s="6" t="s">
        <v>425</v>
      </c>
      <c r="K173" s="1" t="s">
        <v>800</v>
      </c>
    </row>
    <row r="174" spans="1:11" ht="18.45">
      <c r="A174" s="26">
        <v>46049</v>
      </c>
      <c r="B174" s="27"/>
      <c r="C174" s="28" t="s">
        <v>421</v>
      </c>
      <c r="D174" s="28" t="s">
        <v>426</v>
      </c>
      <c r="E174" s="29">
        <v>30</v>
      </c>
      <c r="F174" s="30" t="s">
        <v>34</v>
      </c>
      <c r="G174" s="30" t="s">
        <v>35</v>
      </c>
      <c r="H174" s="31">
        <v>0</v>
      </c>
      <c r="I174" s="28" t="s">
        <v>11</v>
      </c>
      <c r="J174" s="7" t="s">
        <v>36</v>
      </c>
      <c r="K174" s="1" t="s">
        <v>800</v>
      </c>
    </row>
    <row r="175" spans="1:11" ht="18.45">
      <c r="A175" s="26">
        <v>46049</v>
      </c>
      <c r="B175" s="27"/>
      <c r="C175" s="28" t="s">
        <v>427</v>
      </c>
      <c r="D175" s="28" t="s">
        <v>428</v>
      </c>
      <c r="E175" s="29">
        <v>120</v>
      </c>
      <c r="F175" s="30" t="s">
        <v>580</v>
      </c>
      <c r="G175" s="30" t="s">
        <v>429</v>
      </c>
      <c r="H175" s="33">
        <v>5500</v>
      </c>
      <c r="I175" s="28" t="s">
        <v>430</v>
      </c>
      <c r="J175" s="6" t="s">
        <v>431</v>
      </c>
      <c r="K175" s="1" t="s">
        <v>800</v>
      </c>
    </row>
    <row r="176" spans="1:11" ht="18.45">
      <c r="A176" s="26">
        <v>46049</v>
      </c>
      <c r="B176" s="27"/>
      <c r="C176" s="28" t="s">
        <v>432</v>
      </c>
      <c r="D176" s="28" t="s">
        <v>89</v>
      </c>
      <c r="E176" s="29"/>
      <c r="F176" s="30" t="s">
        <v>433</v>
      </c>
      <c r="G176" s="30" t="s">
        <v>587</v>
      </c>
      <c r="H176" s="33"/>
      <c r="I176" s="28" t="s">
        <v>31</v>
      </c>
      <c r="J176" s="6" t="s">
        <v>434</v>
      </c>
      <c r="K176" s="1" t="s">
        <v>800</v>
      </c>
    </row>
    <row r="177" spans="1:11" ht="18.45">
      <c r="A177" s="26">
        <v>46049</v>
      </c>
      <c r="B177" s="27"/>
      <c r="C177" s="28" t="s">
        <v>22</v>
      </c>
      <c r="D177" s="28" t="s">
        <v>89</v>
      </c>
      <c r="E177" s="29"/>
      <c r="F177" s="30" t="s">
        <v>51</v>
      </c>
      <c r="G177" s="30" t="s">
        <v>584</v>
      </c>
      <c r="H177" s="31">
        <v>0</v>
      </c>
      <c r="I177" s="28" t="s">
        <v>31</v>
      </c>
      <c r="J177" s="7" t="s">
        <v>32</v>
      </c>
      <c r="K177" s="1" t="s">
        <v>800</v>
      </c>
    </row>
    <row r="178" spans="1:11" ht="18.45">
      <c r="A178" s="26">
        <v>46049</v>
      </c>
      <c r="B178" s="27"/>
      <c r="C178" s="28" t="s">
        <v>435</v>
      </c>
      <c r="D178" s="28" t="s">
        <v>436</v>
      </c>
      <c r="E178" s="29">
        <v>15</v>
      </c>
      <c r="F178" s="30" t="s">
        <v>252</v>
      </c>
      <c r="G178" s="30" t="s">
        <v>593</v>
      </c>
      <c r="H178" s="31">
        <v>2000</v>
      </c>
      <c r="I178" s="28" t="s">
        <v>9</v>
      </c>
      <c r="J178" s="6" t="s">
        <v>437</v>
      </c>
      <c r="K178" s="1" t="s">
        <v>800</v>
      </c>
    </row>
    <row r="179" spans="1:11" ht="18.45">
      <c r="A179" s="26">
        <v>46050</v>
      </c>
      <c r="B179" s="27" t="str">
        <f t="shared" si="11"/>
        <v>水</v>
      </c>
      <c r="C179" s="28" t="s">
        <v>341</v>
      </c>
      <c r="D179" s="28" t="s">
        <v>151</v>
      </c>
      <c r="E179" s="29">
        <v>20</v>
      </c>
      <c r="F179" s="30" t="s">
        <v>438</v>
      </c>
      <c r="G179" s="30" t="s">
        <v>120</v>
      </c>
      <c r="H179" s="31">
        <v>0</v>
      </c>
      <c r="I179" s="28" t="s">
        <v>9</v>
      </c>
      <c r="J179" s="6" t="s">
        <v>439</v>
      </c>
      <c r="K179" s="1" t="s">
        <v>800</v>
      </c>
    </row>
    <row r="180" spans="1:11" ht="18.45">
      <c r="A180" s="26">
        <v>46050</v>
      </c>
      <c r="B180" s="27"/>
      <c r="C180" s="28" t="s">
        <v>440</v>
      </c>
      <c r="D180" s="28" t="s">
        <v>29</v>
      </c>
      <c r="E180" s="29">
        <v>30</v>
      </c>
      <c r="F180" s="30" t="s">
        <v>441</v>
      </c>
      <c r="G180" s="28" t="s">
        <v>596</v>
      </c>
      <c r="H180" s="33">
        <v>2000</v>
      </c>
      <c r="I180" s="28" t="s">
        <v>9</v>
      </c>
      <c r="J180" s="6" t="s">
        <v>442</v>
      </c>
      <c r="K180" s="1" t="s">
        <v>800</v>
      </c>
    </row>
    <row r="181" spans="1:11" ht="18.45">
      <c r="A181" s="26">
        <v>46050</v>
      </c>
      <c r="B181" s="27"/>
      <c r="C181" s="28" t="s">
        <v>22</v>
      </c>
      <c r="D181" s="28" t="s">
        <v>24</v>
      </c>
      <c r="E181" s="29"/>
      <c r="F181" s="30" t="s">
        <v>51</v>
      </c>
      <c r="G181" s="30" t="s">
        <v>584</v>
      </c>
      <c r="H181" s="31">
        <v>0</v>
      </c>
      <c r="I181" s="28" t="s">
        <v>31</v>
      </c>
      <c r="J181" s="7" t="s">
        <v>32</v>
      </c>
      <c r="K181" s="1" t="s">
        <v>800</v>
      </c>
    </row>
    <row r="182" spans="1:11" ht="18.45">
      <c r="A182" s="26">
        <v>46051</v>
      </c>
      <c r="B182" s="27" t="str">
        <f t="shared" si="11"/>
        <v>木</v>
      </c>
      <c r="C182" s="28" t="s">
        <v>336</v>
      </c>
      <c r="D182" s="28" t="s">
        <v>151</v>
      </c>
      <c r="E182" s="29">
        <v>50</v>
      </c>
      <c r="F182" s="30" t="s">
        <v>377</v>
      </c>
      <c r="G182" s="30" t="s">
        <v>14</v>
      </c>
      <c r="H182" s="31">
        <v>3000</v>
      </c>
      <c r="I182" s="28" t="s">
        <v>11</v>
      </c>
      <c r="J182" s="6" t="s">
        <v>443</v>
      </c>
      <c r="K182" s="1" t="s">
        <v>800</v>
      </c>
    </row>
    <row r="183" spans="1:11" ht="18.45">
      <c r="A183" s="26">
        <v>46051</v>
      </c>
      <c r="B183" s="27"/>
      <c r="C183" s="28" t="s">
        <v>391</v>
      </c>
      <c r="D183" s="28" t="s">
        <v>406</v>
      </c>
      <c r="E183" s="29">
        <v>15</v>
      </c>
      <c r="F183" s="30" t="s">
        <v>25</v>
      </c>
      <c r="G183" s="30" t="s">
        <v>444</v>
      </c>
      <c r="H183" s="33">
        <v>5500</v>
      </c>
      <c r="I183" s="28" t="s">
        <v>9</v>
      </c>
      <c r="J183" s="6" t="s">
        <v>445</v>
      </c>
      <c r="K183" s="1" t="s">
        <v>800</v>
      </c>
    </row>
    <row r="184" spans="1:11" ht="18.45">
      <c r="A184" s="26">
        <v>46052</v>
      </c>
      <c r="B184" s="27" t="str">
        <f t="shared" si="11"/>
        <v>金</v>
      </c>
      <c r="C184" s="28" t="s">
        <v>396</v>
      </c>
      <c r="D184" s="28" t="s">
        <v>474</v>
      </c>
      <c r="E184" s="29">
        <v>15</v>
      </c>
      <c r="F184" s="30" t="s">
        <v>475</v>
      </c>
      <c r="G184" s="30"/>
      <c r="H184" s="33">
        <v>5000</v>
      </c>
      <c r="I184" s="28" t="s">
        <v>9</v>
      </c>
      <c r="J184" s="7" t="s">
        <v>476</v>
      </c>
      <c r="K184" s="1" t="s">
        <v>800</v>
      </c>
    </row>
    <row r="185" spans="1:11" ht="18.45">
      <c r="A185" s="26">
        <v>46055</v>
      </c>
      <c r="B185" s="27" t="str">
        <f t="shared" si="11"/>
        <v>月</v>
      </c>
      <c r="C185" s="28" t="s">
        <v>477</v>
      </c>
      <c r="D185" s="28" t="s">
        <v>155</v>
      </c>
      <c r="E185" s="29">
        <v>30</v>
      </c>
      <c r="F185" s="30" t="s">
        <v>497</v>
      </c>
      <c r="G185" s="30"/>
      <c r="H185" s="31">
        <v>3000</v>
      </c>
      <c r="I185" s="28" t="s">
        <v>9</v>
      </c>
      <c r="J185" s="7" t="s">
        <v>478</v>
      </c>
      <c r="K185" s="1" t="s">
        <v>800</v>
      </c>
    </row>
    <row r="186" spans="1:11" ht="18.45">
      <c r="A186" s="26">
        <v>46057</v>
      </c>
      <c r="B186" s="27" t="str">
        <f t="shared" si="11"/>
        <v>水</v>
      </c>
      <c r="C186" s="38" t="s">
        <v>12</v>
      </c>
      <c r="D186" s="38" t="s">
        <v>446</v>
      </c>
      <c r="E186" s="39">
        <v>50</v>
      </c>
      <c r="F186" s="40" t="s">
        <v>447</v>
      </c>
      <c r="G186" s="40" t="s">
        <v>48</v>
      </c>
      <c r="H186" s="32">
        <v>3000</v>
      </c>
      <c r="I186" s="38" t="s">
        <v>9</v>
      </c>
      <c r="J186" s="6" t="s">
        <v>448</v>
      </c>
      <c r="K186" s="1" t="s">
        <v>800</v>
      </c>
    </row>
    <row r="187" spans="1:11" ht="18.45">
      <c r="A187" s="26">
        <v>46057</v>
      </c>
      <c r="B187" s="27"/>
      <c r="C187" s="28" t="s">
        <v>22</v>
      </c>
      <c r="D187" s="28" t="s">
        <v>55</v>
      </c>
      <c r="E187" s="29"/>
      <c r="F187" s="30" t="s">
        <v>51</v>
      </c>
      <c r="G187" s="30" t="s">
        <v>584</v>
      </c>
      <c r="H187" s="31">
        <v>0</v>
      </c>
      <c r="I187" s="28" t="s">
        <v>31</v>
      </c>
      <c r="J187" s="7" t="s">
        <v>32</v>
      </c>
      <c r="K187" s="1" t="s">
        <v>800</v>
      </c>
    </row>
    <row r="188" spans="1:11" ht="18.45">
      <c r="A188" s="26">
        <v>46057</v>
      </c>
      <c r="B188" s="27"/>
      <c r="C188" s="28" t="s">
        <v>103</v>
      </c>
      <c r="D188" s="28" t="s">
        <v>155</v>
      </c>
      <c r="E188" s="29">
        <v>110</v>
      </c>
      <c r="F188" s="30" t="s">
        <v>34</v>
      </c>
      <c r="G188" s="30" t="s">
        <v>35</v>
      </c>
      <c r="H188" s="33">
        <v>0</v>
      </c>
      <c r="I188" s="28" t="s">
        <v>11</v>
      </c>
      <c r="J188" s="7" t="s">
        <v>36</v>
      </c>
      <c r="K188" s="1" t="s">
        <v>800</v>
      </c>
    </row>
    <row r="189" spans="1:11" ht="18.45">
      <c r="A189" s="26">
        <v>46058</v>
      </c>
      <c r="B189" s="27" t="str">
        <f t="shared" si="11"/>
        <v>木</v>
      </c>
      <c r="C189" s="28" t="s">
        <v>453</v>
      </c>
      <c r="D189" s="28" t="s">
        <v>479</v>
      </c>
      <c r="E189" s="29">
        <v>30</v>
      </c>
      <c r="F189" s="30" t="s">
        <v>13</v>
      </c>
      <c r="G189" s="30" t="s">
        <v>480</v>
      </c>
      <c r="H189" s="33">
        <v>0</v>
      </c>
      <c r="I189" s="28" t="s">
        <v>9</v>
      </c>
      <c r="J189" s="7" t="s">
        <v>481</v>
      </c>
      <c r="K189" s="1" t="s">
        <v>800</v>
      </c>
    </row>
    <row r="190" spans="1:11" ht="18.45">
      <c r="A190" s="26">
        <v>46060</v>
      </c>
      <c r="B190" s="27" t="str">
        <f t="shared" si="11"/>
        <v>土</v>
      </c>
      <c r="C190" s="28" t="s">
        <v>449</v>
      </c>
      <c r="D190" s="28" t="s">
        <v>24</v>
      </c>
      <c r="E190" s="29">
        <v>20</v>
      </c>
      <c r="F190" s="30" t="s">
        <v>450</v>
      </c>
      <c r="G190" s="30" t="s">
        <v>451</v>
      </c>
      <c r="H190" s="31">
        <v>1500</v>
      </c>
      <c r="I190" s="28" t="s">
        <v>9</v>
      </c>
      <c r="J190" s="7" t="s">
        <v>452</v>
      </c>
      <c r="K190" s="1" t="s">
        <v>800</v>
      </c>
    </row>
    <row r="191" spans="1:11" ht="18.45">
      <c r="A191" s="26">
        <v>46063</v>
      </c>
      <c r="B191" s="27" t="str">
        <f t="shared" si="11"/>
        <v>火</v>
      </c>
      <c r="C191" s="28" t="s">
        <v>453</v>
      </c>
      <c r="D191" s="28" t="s">
        <v>87</v>
      </c>
      <c r="E191" s="29">
        <v>35</v>
      </c>
      <c r="F191" s="30" t="s">
        <v>152</v>
      </c>
      <c r="G191" s="30" t="s">
        <v>10</v>
      </c>
      <c r="H191" s="31">
        <v>3000</v>
      </c>
      <c r="I191" s="28" t="s">
        <v>11</v>
      </c>
      <c r="J191" s="7" t="s">
        <v>33</v>
      </c>
      <c r="K191" s="1" t="s">
        <v>800</v>
      </c>
    </row>
    <row r="192" spans="1:11" ht="18.45">
      <c r="A192" s="26">
        <v>46065</v>
      </c>
      <c r="B192" s="27" t="str">
        <f t="shared" si="11"/>
        <v>木</v>
      </c>
      <c r="C192" s="34" t="s">
        <v>382</v>
      </c>
      <c r="D192" s="34" t="s">
        <v>285</v>
      </c>
      <c r="E192" s="35">
        <v>40</v>
      </c>
      <c r="F192" s="36" t="s">
        <v>13</v>
      </c>
      <c r="G192" s="36" t="s">
        <v>383</v>
      </c>
      <c r="H192" s="37">
        <v>1000</v>
      </c>
      <c r="I192" s="34" t="s">
        <v>9</v>
      </c>
      <c r="J192" s="6" t="s">
        <v>454</v>
      </c>
      <c r="K192" s="1" t="s">
        <v>800</v>
      </c>
    </row>
    <row r="193" spans="1:11" ht="18.45">
      <c r="A193" s="26">
        <v>46065</v>
      </c>
      <c r="B193" s="27"/>
      <c r="C193" s="38" t="s">
        <v>82</v>
      </c>
      <c r="D193" s="38" t="s">
        <v>29</v>
      </c>
      <c r="E193" s="39">
        <v>70</v>
      </c>
      <c r="F193" s="40" t="s">
        <v>447</v>
      </c>
      <c r="G193" s="40" t="s">
        <v>48</v>
      </c>
      <c r="H193" s="32">
        <v>3000</v>
      </c>
      <c r="I193" s="38" t="s">
        <v>11</v>
      </c>
      <c r="J193" s="6" t="s">
        <v>455</v>
      </c>
      <c r="K193" s="1" t="s">
        <v>800</v>
      </c>
    </row>
    <row r="194" spans="1:11" ht="18.45">
      <c r="A194" s="26">
        <v>46065</v>
      </c>
      <c r="B194" s="27"/>
      <c r="C194" s="28" t="s">
        <v>379</v>
      </c>
      <c r="D194" s="28" t="s">
        <v>151</v>
      </c>
      <c r="E194" s="29">
        <v>150</v>
      </c>
      <c r="F194" s="30" t="s">
        <v>13</v>
      </c>
      <c r="G194" s="30" t="s">
        <v>380</v>
      </c>
      <c r="H194" s="31">
        <v>0</v>
      </c>
      <c r="I194" s="28" t="s">
        <v>9</v>
      </c>
      <c r="J194" s="6" t="s">
        <v>482</v>
      </c>
      <c r="K194" s="1" t="s">
        <v>800</v>
      </c>
    </row>
    <row r="195" spans="1:11" ht="18.45">
      <c r="A195" s="26">
        <v>46066</v>
      </c>
      <c r="B195" s="27" t="str">
        <f t="shared" si="11"/>
        <v>金</v>
      </c>
      <c r="C195" s="28" t="s">
        <v>336</v>
      </c>
      <c r="D195" s="28" t="s">
        <v>306</v>
      </c>
      <c r="E195" s="29">
        <v>50</v>
      </c>
      <c r="F195" s="30" t="s">
        <v>377</v>
      </c>
      <c r="G195" s="30" t="s">
        <v>14</v>
      </c>
      <c r="H195" s="31">
        <v>3000</v>
      </c>
      <c r="I195" s="28" t="s">
        <v>11</v>
      </c>
      <c r="J195" s="6" t="s">
        <v>456</v>
      </c>
      <c r="K195" s="1" t="s">
        <v>800</v>
      </c>
    </row>
    <row r="196" spans="1:11" ht="18.45">
      <c r="A196" s="26">
        <v>46066</v>
      </c>
      <c r="B196" s="27"/>
      <c r="C196" s="28" t="s">
        <v>457</v>
      </c>
      <c r="D196" s="28" t="s">
        <v>268</v>
      </c>
      <c r="E196" s="29">
        <v>50</v>
      </c>
      <c r="F196" s="30" t="s">
        <v>267</v>
      </c>
      <c r="G196" s="30" t="s">
        <v>266</v>
      </c>
      <c r="H196" s="31">
        <v>2000</v>
      </c>
      <c r="I196" s="28" t="s">
        <v>9</v>
      </c>
      <c r="J196" s="6" t="s">
        <v>458</v>
      </c>
      <c r="K196" s="1" t="s">
        <v>800</v>
      </c>
    </row>
    <row r="197" spans="1:11" ht="18.45">
      <c r="A197" s="26">
        <v>46069</v>
      </c>
      <c r="B197" s="27" t="str">
        <f t="shared" si="11"/>
        <v>月</v>
      </c>
      <c r="C197" s="28" t="s">
        <v>391</v>
      </c>
      <c r="D197" s="28" t="s">
        <v>151</v>
      </c>
      <c r="E197" s="29">
        <v>60</v>
      </c>
      <c r="F197" s="30" t="s">
        <v>483</v>
      </c>
      <c r="G197" s="30" t="s">
        <v>588</v>
      </c>
      <c r="H197" s="31">
        <v>0</v>
      </c>
      <c r="I197" s="28" t="s">
        <v>9</v>
      </c>
      <c r="J197" s="6" t="s">
        <v>484</v>
      </c>
      <c r="K197" s="1" t="s">
        <v>800</v>
      </c>
    </row>
    <row r="198" spans="1:11" ht="18.45">
      <c r="A198" s="26">
        <v>46069</v>
      </c>
      <c r="B198" s="27"/>
      <c r="C198" s="28" t="s">
        <v>396</v>
      </c>
      <c r="D198" s="28" t="s">
        <v>406</v>
      </c>
      <c r="E198" s="29">
        <v>15</v>
      </c>
      <c r="F198" s="30" t="s">
        <v>483</v>
      </c>
      <c r="G198" s="30" t="s">
        <v>485</v>
      </c>
      <c r="H198" s="31">
        <v>3000</v>
      </c>
      <c r="I198" s="28" t="s">
        <v>9</v>
      </c>
      <c r="J198" s="7" t="s">
        <v>486</v>
      </c>
      <c r="K198" s="1" t="s">
        <v>800</v>
      </c>
    </row>
    <row r="199" spans="1:11" ht="18.45">
      <c r="A199" s="26">
        <v>46070</v>
      </c>
      <c r="B199" s="27" t="str">
        <f t="shared" si="11"/>
        <v>火</v>
      </c>
      <c r="C199" s="28" t="s">
        <v>353</v>
      </c>
      <c r="D199" s="28" t="s">
        <v>446</v>
      </c>
      <c r="E199" s="29">
        <v>35</v>
      </c>
      <c r="F199" s="30" t="s">
        <v>62</v>
      </c>
      <c r="G199" s="30" t="s">
        <v>17</v>
      </c>
      <c r="H199" s="31">
        <v>0</v>
      </c>
      <c r="I199" s="28" t="s">
        <v>9</v>
      </c>
      <c r="J199" s="7" t="s">
        <v>459</v>
      </c>
      <c r="K199" s="1" t="s">
        <v>800</v>
      </c>
    </row>
    <row r="200" spans="1:11" ht="18.45">
      <c r="A200" s="26">
        <v>46071</v>
      </c>
      <c r="B200" s="27" t="str">
        <f t="shared" ref="B200:B239" si="12">TEXT(A200,"aaa")</f>
        <v>水</v>
      </c>
      <c r="C200" s="38" t="s">
        <v>12</v>
      </c>
      <c r="D200" s="38" t="s">
        <v>460</v>
      </c>
      <c r="E200" s="39">
        <v>30</v>
      </c>
      <c r="F200" s="40" t="s">
        <v>447</v>
      </c>
      <c r="G200" s="40" t="s">
        <v>48</v>
      </c>
      <c r="H200" s="32">
        <v>3000</v>
      </c>
      <c r="I200" s="38" t="s">
        <v>11</v>
      </c>
      <c r="J200" s="6" t="s">
        <v>461</v>
      </c>
      <c r="K200" s="1" t="s">
        <v>800</v>
      </c>
    </row>
    <row r="201" spans="1:11" ht="18.45">
      <c r="A201" s="26">
        <v>46071</v>
      </c>
      <c r="B201" s="27"/>
      <c r="C201" s="28" t="s">
        <v>336</v>
      </c>
      <c r="D201" s="28" t="s">
        <v>151</v>
      </c>
      <c r="E201" s="29">
        <v>50</v>
      </c>
      <c r="F201" s="30" t="s">
        <v>15</v>
      </c>
      <c r="G201" s="30" t="s">
        <v>64</v>
      </c>
      <c r="H201" s="33">
        <v>3000</v>
      </c>
      <c r="I201" s="28" t="s">
        <v>9</v>
      </c>
      <c r="J201" s="6" t="s">
        <v>487</v>
      </c>
      <c r="K201" s="1" t="s">
        <v>800</v>
      </c>
    </row>
    <row r="202" spans="1:11" ht="18.45">
      <c r="A202" s="26">
        <v>46071</v>
      </c>
      <c r="B202" s="27"/>
      <c r="C202" s="28" t="s">
        <v>336</v>
      </c>
      <c r="D202" s="28" t="s">
        <v>148</v>
      </c>
      <c r="E202" s="29">
        <v>25</v>
      </c>
      <c r="F202" s="30" t="s">
        <v>402</v>
      </c>
      <c r="G202" s="30" t="s">
        <v>592</v>
      </c>
      <c r="H202" s="33">
        <v>0</v>
      </c>
      <c r="I202" s="28" t="s">
        <v>9</v>
      </c>
      <c r="J202" s="6" t="s">
        <v>488</v>
      </c>
      <c r="K202" s="1" t="s">
        <v>800</v>
      </c>
    </row>
    <row r="203" spans="1:11" ht="18.45">
      <c r="A203" s="26">
        <v>46071</v>
      </c>
      <c r="B203" s="27"/>
      <c r="C203" s="28" t="s">
        <v>137</v>
      </c>
      <c r="D203" s="28" t="s">
        <v>89</v>
      </c>
      <c r="E203" s="29">
        <v>54</v>
      </c>
      <c r="F203" s="30" t="s">
        <v>34</v>
      </c>
      <c r="G203" s="30" t="s">
        <v>35</v>
      </c>
      <c r="H203" s="31">
        <v>0</v>
      </c>
      <c r="I203" s="28" t="s">
        <v>11</v>
      </c>
      <c r="J203" s="7" t="s">
        <v>36</v>
      </c>
      <c r="K203" s="1" t="s">
        <v>800</v>
      </c>
    </row>
    <row r="204" spans="1:11" ht="18.45">
      <c r="A204" s="26">
        <v>46072</v>
      </c>
      <c r="B204" s="27" t="str">
        <f t="shared" si="12"/>
        <v>木</v>
      </c>
      <c r="C204" s="38" t="s">
        <v>12</v>
      </c>
      <c r="D204" s="38" t="s">
        <v>240</v>
      </c>
      <c r="E204" s="39">
        <v>30</v>
      </c>
      <c r="F204" s="40" t="s">
        <v>447</v>
      </c>
      <c r="G204" s="40" t="s">
        <v>48</v>
      </c>
      <c r="H204" s="32">
        <v>3000</v>
      </c>
      <c r="I204" s="38" t="s">
        <v>11</v>
      </c>
      <c r="J204" s="6" t="s">
        <v>462</v>
      </c>
      <c r="K204" s="1" t="s">
        <v>800</v>
      </c>
    </row>
    <row r="205" spans="1:11" ht="18.45">
      <c r="A205" s="26">
        <v>46072</v>
      </c>
      <c r="B205" s="27"/>
      <c r="C205" s="28" t="s">
        <v>391</v>
      </c>
      <c r="D205" s="28" t="s">
        <v>406</v>
      </c>
      <c r="E205" s="29">
        <v>15</v>
      </c>
      <c r="F205" s="30" t="s">
        <v>463</v>
      </c>
      <c r="G205" s="30" t="s">
        <v>444</v>
      </c>
      <c r="H205" s="33">
        <v>5500</v>
      </c>
      <c r="I205" s="28" t="s">
        <v>9</v>
      </c>
      <c r="J205" s="6" t="s">
        <v>464</v>
      </c>
      <c r="K205" s="1" t="s">
        <v>800</v>
      </c>
    </row>
    <row r="206" spans="1:11" ht="18.45">
      <c r="A206" s="26">
        <v>46072</v>
      </c>
      <c r="B206" s="27"/>
      <c r="C206" s="28" t="s">
        <v>341</v>
      </c>
      <c r="D206" s="28" t="s">
        <v>24</v>
      </c>
      <c r="E206" s="29">
        <v>10</v>
      </c>
      <c r="F206" s="30" t="s">
        <v>13</v>
      </c>
      <c r="G206" s="30" t="s">
        <v>342</v>
      </c>
      <c r="H206" s="33">
        <v>0</v>
      </c>
      <c r="I206" s="28" t="s">
        <v>9</v>
      </c>
      <c r="J206" s="6" t="s">
        <v>489</v>
      </c>
      <c r="K206" s="1" t="s">
        <v>800</v>
      </c>
    </row>
    <row r="207" spans="1:11" ht="18.45">
      <c r="A207" s="26">
        <v>46078</v>
      </c>
      <c r="B207" s="27" t="str">
        <f t="shared" si="12"/>
        <v>水</v>
      </c>
      <c r="C207" s="38" t="s">
        <v>12</v>
      </c>
      <c r="D207" s="38" t="s">
        <v>55</v>
      </c>
      <c r="E207" s="39">
        <v>30</v>
      </c>
      <c r="F207" s="40" t="s">
        <v>465</v>
      </c>
      <c r="G207" s="40" t="s">
        <v>48</v>
      </c>
      <c r="H207" s="32">
        <v>3000</v>
      </c>
      <c r="I207" s="38" t="s">
        <v>9</v>
      </c>
      <c r="J207" s="6" t="s">
        <v>466</v>
      </c>
      <c r="K207" s="1" t="s">
        <v>800</v>
      </c>
    </row>
    <row r="208" spans="1:11" ht="18.45">
      <c r="A208" s="26">
        <v>46078</v>
      </c>
      <c r="B208" s="27"/>
      <c r="C208" s="28" t="s">
        <v>78</v>
      </c>
      <c r="D208" s="28" t="s">
        <v>87</v>
      </c>
      <c r="E208" s="29">
        <v>60</v>
      </c>
      <c r="F208" s="30" t="s">
        <v>34</v>
      </c>
      <c r="G208" s="30" t="s">
        <v>35</v>
      </c>
      <c r="H208" s="31">
        <v>0</v>
      </c>
      <c r="I208" s="28" t="s">
        <v>11</v>
      </c>
      <c r="J208" s="7" t="s">
        <v>36</v>
      </c>
      <c r="K208" s="1" t="s">
        <v>800</v>
      </c>
    </row>
    <row r="209" spans="1:11" ht="18.45">
      <c r="A209" s="26">
        <v>46079</v>
      </c>
      <c r="B209" s="27" t="str">
        <f t="shared" si="12"/>
        <v>木</v>
      </c>
      <c r="C209" s="28" t="s">
        <v>351</v>
      </c>
      <c r="D209" s="28" t="s">
        <v>155</v>
      </c>
      <c r="E209" s="29">
        <v>30</v>
      </c>
      <c r="F209" s="30" t="s">
        <v>20</v>
      </c>
      <c r="G209" s="30" t="s">
        <v>156</v>
      </c>
      <c r="H209" s="31">
        <v>2500</v>
      </c>
      <c r="I209" s="28" t="s">
        <v>9</v>
      </c>
      <c r="J209" s="7" t="s">
        <v>467</v>
      </c>
      <c r="K209" s="1" t="s">
        <v>800</v>
      </c>
    </row>
    <row r="210" spans="1:11" ht="18.45">
      <c r="A210" s="26">
        <v>46079</v>
      </c>
      <c r="B210" s="27"/>
      <c r="C210" s="28" t="s">
        <v>366</v>
      </c>
      <c r="D210" s="28" t="s">
        <v>29</v>
      </c>
      <c r="E210" s="29">
        <v>40</v>
      </c>
      <c r="F210" s="30" t="s">
        <v>152</v>
      </c>
      <c r="G210" s="30" t="s">
        <v>10</v>
      </c>
      <c r="H210" s="31">
        <v>3000</v>
      </c>
      <c r="I210" s="28" t="s">
        <v>11</v>
      </c>
      <c r="J210" s="7" t="s">
        <v>33</v>
      </c>
      <c r="K210" s="1" t="s">
        <v>800</v>
      </c>
    </row>
    <row r="211" spans="1:11" ht="18.45">
      <c r="A211" s="26">
        <v>46079</v>
      </c>
      <c r="B211" s="27"/>
      <c r="C211" s="38" t="s">
        <v>468</v>
      </c>
      <c r="D211" s="38" t="s">
        <v>469</v>
      </c>
      <c r="E211" s="39">
        <v>30</v>
      </c>
      <c r="F211" s="40" t="s">
        <v>465</v>
      </c>
      <c r="G211" s="40" t="s">
        <v>48</v>
      </c>
      <c r="H211" s="32">
        <v>3000</v>
      </c>
      <c r="I211" s="38" t="s">
        <v>9</v>
      </c>
      <c r="J211" s="6" t="s">
        <v>470</v>
      </c>
      <c r="K211" s="1" t="s">
        <v>800</v>
      </c>
    </row>
    <row r="212" spans="1:11" ht="18.45">
      <c r="A212" s="26">
        <v>46080</v>
      </c>
      <c r="B212" s="27" t="str">
        <f t="shared" si="12"/>
        <v>金</v>
      </c>
      <c r="C212" s="28" t="s">
        <v>336</v>
      </c>
      <c r="D212" s="28" t="s">
        <v>24</v>
      </c>
      <c r="E212" s="29">
        <v>50</v>
      </c>
      <c r="F212" s="30" t="s">
        <v>377</v>
      </c>
      <c r="G212" s="30" t="s">
        <v>14</v>
      </c>
      <c r="H212" s="31">
        <v>3000</v>
      </c>
      <c r="I212" s="28" t="s">
        <v>11</v>
      </c>
      <c r="J212" s="7" t="s">
        <v>390</v>
      </c>
      <c r="K212" s="1" t="s">
        <v>800</v>
      </c>
    </row>
    <row r="213" spans="1:11" ht="18.45">
      <c r="A213" s="26">
        <v>46084</v>
      </c>
      <c r="B213" s="27" t="str">
        <f t="shared" si="12"/>
        <v>火</v>
      </c>
      <c r="C213" s="28" t="s">
        <v>471</v>
      </c>
      <c r="D213" s="28" t="s">
        <v>155</v>
      </c>
      <c r="E213" s="29">
        <v>140</v>
      </c>
      <c r="F213" s="30" t="s">
        <v>34</v>
      </c>
      <c r="G213" s="30" t="s">
        <v>575</v>
      </c>
      <c r="H213" s="33">
        <v>2000</v>
      </c>
      <c r="I213" s="28" t="s">
        <v>9</v>
      </c>
      <c r="J213" s="6" t="s">
        <v>472</v>
      </c>
      <c r="K213" s="1" t="s">
        <v>800</v>
      </c>
    </row>
    <row r="214" spans="1:11" ht="18.45">
      <c r="A214" s="26">
        <v>46085</v>
      </c>
      <c r="B214" s="27" t="str">
        <f t="shared" si="12"/>
        <v>水</v>
      </c>
      <c r="C214" s="28" t="s">
        <v>490</v>
      </c>
      <c r="D214" s="28" t="s">
        <v>241</v>
      </c>
      <c r="E214" s="29">
        <v>200</v>
      </c>
      <c r="F214" s="30" t="s">
        <v>41</v>
      </c>
      <c r="G214" s="30" t="s">
        <v>260</v>
      </c>
      <c r="H214" s="31">
        <v>0</v>
      </c>
      <c r="I214" s="28" t="s">
        <v>9</v>
      </c>
      <c r="J214" s="7" t="s">
        <v>491</v>
      </c>
      <c r="K214" s="1" t="s">
        <v>800</v>
      </c>
    </row>
    <row r="215" spans="1:11" ht="18.45">
      <c r="A215" s="26">
        <v>46093</v>
      </c>
      <c r="B215" s="27" t="str">
        <f t="shared" si="12"/>
        <v>木</v>
      </c>
      <c r="C215" s="28" t="s">
        <v>409</v>
      </c>
      <c r="D215" s="28" t="s">
        <v>428</v>
      </c>
      <c r="E215" s="29">
        <v>100</v>
      </c>
      <c r="F215" s="30" t="s">
        <v>58</v>
      </c>
      <c r="G215" s="30" t="s">
        <v>429</v>
      </c>
      <c r="H215" s="33">
        <v>8000</v>
      </c>
      <c r="I215" s="28" t="s">
        <v>9</v>
      </c>
      <c r="J215" s="7" t="s">
        <v>473</v>
      </c>
      <c r="K215" s="1" t="s">
        <v>800</v>
      </c>
    </row>
    <row r="216" spans="1:11" ht="18.45">
      <c r="A216" s="26">
        <v>46097</v>
      </c>
      <c r="B216" s="27" t="str">
        <f t="shared" si="12"/>
        <v>月</v>
      </c>
      <c r="C216" s="28" t="s">
        <v>449</v>
      </c>
      <c r="D216" s="28" t="s">
        <v>151</v>
      </c>
      <c r="E216" s="29">
        <v>40</v>
      </c>
      <c r="F216" s="30" t="s">
        <v>400</v>
      </c>
      <c r="G216" s="30" t="s">
        <v>21</v>
      </c>
      <c r="H216" s="32">
        <v>3000</v>
      </c>
      <c r="I216" s="28" t="s">
        <v>9</v>
      </c>
      <c r="J216" s="6" t="s">
        <v>498</v>
      </c>
      <c r="K216" s="1" t="s">
        <v>800</v>
      </c>
    </row>
    <row r="217" spans="1:11" ht="18.45">
      <c r="A217" s="26">
        <v>46097</v>
      </c>
      <c r="B217" s="27"/>
      <c r="C217" s="28" t="s">
        <v>22</v>
      </c>
      <c r="D217" s="28" t="s">
        <v>354</v>
      </c>
      <c r="E217" s="29"/>
      <c r="F217" s="30" t="s">
        <v>569</v>
      </c>
      <c r="G217" s="30" t="s">
        <v>30</v>
      </c>
      <c r="H217" s="33">
        <v>0</v>
      </c>
      <c r="I217" s="28" t="s">
        <v>31</v>
      </c>
      <c r="J217" s="6" t="s">
        <v>32</v>
      </c>
      <c r="K217" s="1" t="s">
        <v>800</v>
      </c>
    </row>
    <row r="218" spans="1:11" ht="18.45">
      <c r="A218" s="26">
        <v>46098</v>
      </c>
      <c r="B218" s="27" t="str">
        <f t="shared" ref="B218" si="13">TEXT(A218,"aaa")</f>
        <v>火</v>
      </c>
      <c r="C218" s="28" t="s">
        <v>416</v>
      </c>
      <c r="D218" s="28" t="s">
        <v>354</v>
      </c>
      <c r="E218" s="29">
        <v>30</v>
      </c>
      <c r="F218" s="30" t="s">
        <v>77</v>
      </c>
      <c r="G218" s="30" t="s">
        <v>76</v>
      </c>
      <c r="H218" s="33">
        <v>0</v>
      </c>
      <c r="I218" s="28" t="s">
        <v>9</v>
      </c>
      <c r="J218" s="6" t="s">
        <v>499</v>
      </c>
      <c r="K218" s="1" t="s">
        <v>800</v>
      </c>
    </row>
    <row r="219" spans="1:11" ht="18.45">
      <c r="A219" s="26">
        <v>46098</v>
      </c>
      <c r="B219" s="27"/>
      <c r="C219" s="28" t="s">
        <v>500</v>
      </c>
      <c r="D219" s="28" t="s">
        <v>87</v>
      </c>
      <c r="E219" s="29">
        <v>40</v>
      </c>
      <c r="F219" s="30" t="s">
        <v>235</v>
      </c>
      <c r="G219" s="30" t="s">
        <v>195</v>
      </c>
      <c r="H219" s="31">
        <v>0</v>
      </c>
      <c r="I219" s="28" t="s">
        <v>31</v>
      </c>
      <c r="J219" s="6" t="s">
        <v>191</v>
      </c>
      <c r="K219" s="1" t="s">
        <v>800</v>
      </c>
    </row>
    <row r="220" spans="1:11" ht="18.45">
      <c r="A220" s="26">
        <v>46098</v>
      </c>
      <c r="B220" s="27"/>
      <c r="C220" s="28" t="s">
        <v>501</v>
      </c>
      <c r="D220" s="28" t="s">
        <v>186</v>
      </c>
      <c r="E220" s="29">
        <v>35</v>
      </c>
      <c r="F220" s="30" t="s">
        <v>152</v>
      </c>
      <c r="G220" s="30" t="s">
        <v>10</v>
      </c>
      <c r="H220" s="31">
        <v>3000</v>
      </c>
      <c r="I220" s="28" t="s">
        <v>11</v>
      </c>
      <c r="J220" s="7" t="s">
        <v>33</v>
      </c>
      <c r="K220" s="1" t="s">
        <v>800</v>
      </c>
    </row>
    <row r="221" spans="1:11" ht="18.45">
      <c r="A221" s="26">
        <v>46098</v>
      </c>
      <c r="B221" s="27"/>
      <c r="C221" s="28" t="s">
        <v>440</v>
      </c>
      <c r="D221" s="28" t="s">
        <v>335</v>
      </c>
      <c r="E221" s="29">
        <v>30</v>
      </c>
      <c r="F221" s="30" t="s">
        <v>34</v>
      </c>
      <c r="G221" s="30" t="s">
        <v>35</v>
      </c>
      <c r="H221" s="31">
        <v>0</v>
      </c>
      <c r="I221" s="28" t="s">
        <v>11</v>
      </c>
      <c r="J221" s="6" t="s">
        <v>502</v>
      </c>
      <c r="K221" s="1" t="s">
        <v>800</v>
      </c>
    </row>
    <row r="222" spans="1:11" ht="18.45">
      <c r="A222" s="26">
        <v>46098</v>
      </c>
      <c r="B222" s="27"/>
      <c r="C222" s="28" t="s">
        <v>503</v>
      </c>
      <c r="D222" s="28" t="s">
        <v>479</v>
      </c>
      <c r="E222" s="29">
        <v>130</v>
      </c>
      <c r="F222" s="30" t="s">
        <v>504</v>
      </c>
      <c r="G222" s="30" t="s">
        <v>577</v>
      </c>
      <c r="H222" s="31">
        <v>0</v>
      </c>
      <c r="I222" s="28" t="s">
        <v>9</v>
      </c>
      <c r="J222" s="6" t="s">
        <v>505</v>
      </c>
      <c r="K222" s="1" t="s">
        <v>800</v>
      </c>
    </row>
    <row r="223" spans="1:11" ht="18.45">
      <c r="A223" s="26">
        <v>46098</v>
      </c>
      <c r="B223" s="27"/>
      <c r="C223" s="28" t="s">
        <v>408</v>
      </c>
      <c r="D223" s="28" t="s">
        <v>306</v>
      </c>
      <c r="E223" s="29">
        <v>200</v>
      </c>
      <c r="F223" s="30" t="s">
        <v>597</v>
      </c>
      <c r="G223" s="30" t="s">
        <v>598</v>
      </c>
      <c r="H223" s="31">
        <v>0</v>
      </c>
      <c r="I223" s="28" t="s">
        <v>9</v>
      </c>
      <c r="J223" s="6" t="s">
        <v>506</v>
      </c>
      <c r="K223" s="1" t="s">
        <v>800</v>
      </c>
    </row>
    <row r="224" spans="1:11" ht="18.45">
      <c r="A224" s="26">
        <v>46098</v>
      </c>
      <c r="B224" s="27"/>
      <c r="C224" s="28" t="s">
        <v>507</v>
      </c>
      <c r="D224" s="28" t="s">
        <v>446</v>
      </c>
      <c r="E224" s="29">
        <v>30</v>
      </c>
      <c r="F224" s="30" t="s">
        <v>508</v>
      </c>
      <c r="G224" s="30" t="s">
        <v>509</v>
      </c>
      <c r="H224" s="31">
        <v>1000</v>
      </c>
      <c r="I224" s="28" t="s">
        <v>9</v>
      </c>
      <c r="J224" s="6" t="s">
        <v>510</v>
      </c>
      <c r="K224" s="1" t="s">
        <v>800</v>
      </c>
    </row>
    <row r="225" spans="1:11" ht="18.45">
      <c r="A225" s="26">
        <v>46099</v>
      </c>
      <c r="B225" s="27" t="str">
        <f t="shared" ref="B225" si="14">TEXT(A225,"aaa")</f>
        <v>水</v>
      </c>
      <c r="C225" s="28" t="s">
        <v>341</v>
      </c>
      <c r="D225" s="28" t="s">
        <v>151</v>
      </c>
      <c r="E225" s="29">
        <v>20</v>
      </c>
      <c r="F225" s="30" t="s">
        <v>511</v>
      </c>
      <c r="G225" s="30" t="s">
        <v>120</v>
      </c>
      <c r="H225" s="31">
        <v>0</v>
      </c>
      <c r="I225" s="28" t="s">
        <v>9</v>
      </c>
      <c r="J225" s="6" t="s">
        <v>512</v>
      </c>
      <c r="K225" s="1" t="s">
        <v>800</v>
      </c>
    </row>
    <row r="226" spans="1:11" ht="18.45">
      <c r="A226" s="26">
        <v>46099</v>
      </c>
      <c r="B226" s="27"/>
      <c r="C226" s="28" t="s">
        <v>440</v>
      </c>
      <c r="D226" s="28" t="s">
        <v>188</v>
      </c>
      <c r="E226" s="29">
        <v>36</v>
      </c>
      <c r="F226" s="30" t="s">
        <v>34</v>
      </c>
      <c r="G226" s="30" t="s">
        <v>35</v>
      </c>
      <c r="H226" s="31">
        <v>0</v>
      </c>
      <c r="I226" s="28" t="s">
        <v>11</v>
      </c>
      <c r="J226" s="7" t="s">
        <v>36</v>
      </c>
      <c r="K226" s="1" t="s">
        <v>800</v>
      </c>
    </row>
    <row r="227" spans="1:11" ht="18.45">
      <c r="A227" s="26">
        <v>46099</v>
      </c>
      <c r="B227" s="27"/>
      <c r="C227" s="28" t="s">
        <v>513</v>
      </c>
      <c r="D227" s="28" t="s">
        <v>514</v>
      </c>
      <c r="E227" s="29">
        <v>50</v>
      </c>
      <c r="F227" s="30" t="s">
        <v>515</v>
      </c>
      <c r="G227" s="30" t="s">
        <v>516</v>
      </c>
      <c r="H227" s="31">
        <v>0</v>
      </c>
      <c r="I227" s="28" t="s">
        <v>168</v>
      </c>
      <c r="J227" s="6" t="s">
        <v>517</v>
      </c>
      <c r="K227" s="1" t="s">
        <v>800</v>
      </c>
    </row>
    <row r="228" spans="1:11" ht="18.45">
      <c r="A228" s="26">
        <v>46100</v>
      </c>
      <c r="B228" s="27" t="str">
        <f t="shared" ref="B228" si="15">TEXT(A228,"aaa")</f>
        <v>木</v>
      </c>
      <c r="C228" s="28" t="s">
        <v>518</v>
      </c>
      <c r="D228" s="28" t="s">
        <v>155</v>
      </c>
      <c r="E228" s="29">
        <v>50</v>
      </c>
      <c r="F228" s="30" t="s">
        <v>519</v>
      </c>
      <c r="G228" s="30"/>
      <c r="H228" s="31">
        <v>0</v>
      </c>
      <c r="I228" s="28" t="s">
        <v>168</v>
      </c>
      <c r="J228" s="6" t="s">
        <v>520</v>
      </c>
      <c r="K228" s="1" t="s">
        <v>800</v>
      </c>
    </row>
    <row r="229" spans="1:11" ht="18.45">
      <c r="A229" s="26">
        <v>46100</v>
      </c>
      <c r="B229" s="27"/>
      <c r="C229" s="38" t="s">
        <v>521</v>
      </c>
      <c r="D229" s="38" t="s">
        <v>29</v>
      </c>
      <c r="E229" s="39">
        <v>70</v>
      </c>
      <c r="F229" s="40" t="s">
        <v>368</v>
      </c>
      <c r="G229" s="40" t="s">
        <v>21</v>
      </c>
      <c r="H229" s="32">
        <v>3000</v>
      </c>
      <c r="I229" s="38" t="s">
        <v>168</v>
      </c>
      <c r="J229" s="6" t="s">
        <v>522</v>
      </c>
      <c r="K229" s="1" t="s">
        <v>800</v>
      </c>
    </row>
    <row r="230" spans="1:11" ht="18.45">
      <c r="A230" s="26">
        <v>46100</v>
      </c>
      <c r="B230" s="27"/>
      <c r="C230" s="28" t="s">
        <v>523</v>
      </c>
      <c r="D230" s="28" t="s">
        <v>263</v>
      </c>
      <c r="E230" s="29">
        <v>30</v>
      </c>
      <c r="F230" s="30" t="s">
        <v>524</v>
      </c>
      <c r="G230" s="30" t="s">
        <v>525</v>
      </c>
      <c r="H230" s="33">
        <v>2000</v>
      </c>
      <c r="I230" s="28" t="s">
        <v>9</v>
      </c>
      <c r="J230" s="6" t="s">
        <v>526</v>
      </c>
      <c r="K230" s="1" t="s">
        <v>800</v>
      </c>
    </row>
    <row r="231" spans="1:11" ht="18.45">
      <c r="A231" s="26">
        <v>46104</v>
      </c>
      <c r="B231" s="27" t="str">
        <f t="shared" si="12"/>
        <v>月</v>
      </c>
      <c r="C231" s="28" t="s">
        <v>351</v>
      </c>
      <c r="D231" s="28" t="s">
        <v>155</v>
      </c>
      <c r="E231" s="29">
        <v>30</v>
      </c>
      <c r="F231" s="30" t="s">
        <v>20</v>
      </c>
      <c r="G231" s="30" t="s">
        <v>156</v>
      </c>
      <c r="H231" s="31">
        <v>2500</v>
      </c>
      <c r="I231" s="28" t="s">
        <v>9</v>
      </c>
      <c r="J231" s="6" t="s">
        <v>527</v>
      </c>
      <c r="K231" s="1" t="s">
        <v>800</v>
      </c>
    </row>
    <row r="232" spans="1:11" ht="18.45">
      <c r="A232" s="26">
        <v>46104</v>
      </c>
      <c r="B232" s="27"/>
      <c r="C232" s="28" t="s">
        <v>391</v>
      </c>
      <c r="D232" s="28" t="s">
        <v>151</v>
      </c>
      <c r="E232" s="29">
        <v>60</v>
      </c>
      <c r="F232" s="30" t="s">
        <v>13</v>
      </c>
      <c r="G232" s="30" t="s">
        <v>588</v>
      </c>
      <c r="H232" s="31">
        <v>0</v>
      </c>
      <c r="I232" s="28" t="s">
        <v>9</v>
      </c>
      <c r="J232" s="6" t="s">
        <v>528</v>
      </c>
      <c r="K232" s="1" t="s">
        <v>800</v>
      </c>
    </row>
    <row r="233" spans="1:11" ht="18.45">
      <c r="A233" s="26">
        <v>46104</v>
      </c>
      <c r="B233" s="27"/>
      <c r="C233" s="28" t="s">
        <v>500</v>
      </c>
      <c r="D233" s="28" t="s">
        <v>428</v>
      </c>
      <c r="E233" s="29">
        <v>40</v>
      </c>
      <c r="F233" s="30" t="s">
        <v>235</v>
      </c>
      <c r="G233" s="30" t="s">
        <v>195</v>
      </c>
      <c r="H233" s="31">
        <v>0</v>
      </c>
      <c r="I233" s="28" t="s">
        <v>31</v>
      </c>
      <c r="J233" s="6" t="s">
        <v>191</v>
      </c>
      <c r="K233" s="1" t="s">
        <v>800</v>
      </c>
    </row>
    <row r="234" spans="1:11" ht="18.45">
      <c r="A234" s="26">
        <v>46104</v>
      </c>
      <c r="B234" s="27"/>
      <c r="C234" s="28" t="s">
        <v>523</v>
      </c>
      <c r="D234" s="28" t="s">
        <v>188</v>
      </c>
      <c r="E234" s="29">
        <v>30</v>
      </c>
      <c r="F234" s="30" t="s">
        <v>529</v>
      </c>
      <c r="G234" s="30" t="s">
        <v>530</v>
      </c>
      <c r="H234" s="31">
        <v>0</v>
      </c>
      <c r="I234" s="28" t="s">
        <v>9</v>
      </c>
      <c r="J234" s="6" t="s">
        <v>531</v>
      </c>
      <c r="K234" s="1" t="s">
        <v>800</v>
      </c>
    </row>
    <row r="235" spans="1:11" ht="18.45">
      <c r="A235" s="26">
        <v>46104</v>
      </c>
      <c r="B235" s="27"/>
      <c r="C235" s="28" t="s">
        <v>338</v>
      </c>
      <c r="D235" s="28" t="s">
        <v>151</v>
      </c>
      <c r="E235" s="29">
        <v>250</v>
      </c>
      <c r="F235" s="30" t="s">
        <v>532</v>
      </c>
      <c r="G235" s="30" t="s">
        <v>589</v>
      </c>
      <c r="H235" s="31">
        <v>0</v>
      </c>
      <c r="I235" s="28" t="s">
        <v>9</v>
      </c>
      <c r="J235" s="6" t="s">
        <v>533</v>
      </c>
      <c r="K235" s="1" t="s">
        <v>800</v>
      </c>
    </row>
    <row r="236" spans="1:11" ht="18.45">
      <c r="A236" s="26">
        <v>46105</v>
      </c>
      <c r="B236" s="27" t="str">
        <f t="shared" ref="B236" si="16">TEXT(A236,"aaa")</f>
        <v>火</v>
      </c>
      <c r="C236" s="28" t="s">
        <v>500</v>
      </c>
      <c r="D236" s="28" t="s">
        <v>446</v>
      </c>
      <c r="E236" s="29">
        <v>35</v>
      </c>
      <c r="F236" s="30" t="s">
        <v>534</v>
      </c>
      <c r="G236" s="30" t="s">
        <v>17</v>
      </c>
      <c r="H236" s="31">
        <v>0</v>
      </c>
      <c r="I236" s="28" t="s">
        <v>9</v>
      </c>
      <c r="J236" s="6" t="s">
        <v>535</v>
      </c>
      <c r="K236" s="1" t="s">
        <v>800</v>
      </c>
    </row>
    <row r="237" spans="1:11" ht="18.45">
      <c r="A237" s="26">
        <v>46105</v>
      </c>
      <c r="B237" s="27"/>
      <c r="C237" s="28" t="s">
        <v>336</v>
      </c>
      <c r="D237" s="28" t="s">
        <v>446</v>
      </c>
      <c r="E237" s="29">
        <v>50</v>
      </c>
      <c r="F237" s="30" t="s">
        <v>152</v>
      </c>
      <c r="G237" s="30" t="s">
        <v>14</v>
      </c>
      <c r="H237" s="37">
        <v>3000</v>
      </c>
      <c r="I237" s="34" t="s">
        <v>9</v>
      </c>
      <c r="J237" s="6" t="s">
        <v>536</v>
      </c>
      <c r="K237" s="1" t="s">
        <v>800</v>
      </c>
    </row>
    <row r="238" spans="1:11" ht="18.45">
      <c r="A238" s="26">
        <v>46105</v>
      </c>
      <c r="B238" s="27"/>
      <c r="C238" s="28" t="s">
        <v>537</v>
      </c>
      <c r="D238" s="28" t="s">
        <v>87</v>
      </c>
      <c r="E238" s="29">
        <v>40</v>
      </c>
      <c r="F238" s="30" t="s">
        <v>538</v>
      </c>
      <c r="G238" s="30" t="s">
        <v>21</v>
      </c>
      <c r="H238" s="32">
        <v>3000</v>
      </c>
      <c r="I238" s="38" t="s">
        <v>168</v>
      </c>
      <c r="J238" s="6" t="s">
        <v>539</v>
      </c>
      <c r="K238" s="1" t="s">
        <v>800</v>
      </c>
    </row>
    <row r="239" spans="1:11" ht="18.45">
      <c r="A239" s="26">
        <v>46105</v>
      </c>
      <c r="B239" s="27" t="str">
        <f t="shared" si="12"/>
        <v>火</v>
      </c>
      <c r="C239" s="28" t="s">
        <v>453</v>
      </c>
      <c r="D239" s="28" t="s">
        <v>29</v>
      </c>
      <c r="E239" s="29">
        <v>40</v>
      </c>
      <c r="F239" s="30" t="s">
        <v>152</v>
      </c>
      <c r="G239" s="30" t="s">
        <v>10</v>
      </c>
      <c r="H239" s="31">
        <v>3000</v>
      </c>
      <c r="I239" s="28" t="s">
        <v>11</v>
      </c>
      <c r="J239" s="7" t="s">
        <v>33</v>
      </c>
      <c r="K239" s="1" t="s">
        <v>800</v>
      </c>
    </row>
    <row r="240" spans="1:11" ht="18.45">
      <c r="A240" s="26">
        <v>46105</v>
      </c>
      <c r="B240" s="27"/>
      <c r="C240" s="28" t="s">
        <v>540</v>
      </c>
      <c r="D240" s="28" t="s">
        <v>155</v>
      </c>
      <c r="E240" s="29">
        <v>20</v>
      </c>
      <c r="F240" s="30" t="s">
        <v>599</v>
      </c>
      <c r="G240" s="30" t="s">
        <v>541</v>
      </c>
      <c r="H240" s="33">
        <v>1000</v>
      </c>
      <c r="I240" s="28" t="s">
        <v>168</v>
      </c>
      <c r="J240" s="6" t="s">
        <v>542</v>
      </c>
      <c r="K240" s="1" t="s">
        <v>800</v>
      </c>
    </row>
    <row r="241" spans="1:11" ht="18.45">
      <c r="A241" s="26">
        <v>46106</v>
      </c>
      <c r="B241" s="27" t="str">
        <f t="shared" ref="B241:B304" si="17">TEXT(A241,"aaa")</f>
        <v>水</v>
      </c>
      <c r="C241" s="28" t="s">
        <v>543</v>
      </c>
      <c r="D241" s="28" t="s">
        <v>186</v>
      </c>
      <c r="E241" s="29">
        <v>35</v>
      </c>
      <c r="F241" s="30" t="s">
        <v>235</v>
      </c>
      <c r="G241" s="30" t="s">
        <v>195</v>
      </c>
      <c r="H241" s="31">
        <v>0</v>
      </c>
      <c r="I241" s="28" t="s">
        <v>31</v>
      </c>
      <c r="J241" s="6" t="s">
        <v>191</v>
      </c>
      <c r="K241" s="1" t="s">
        <v>800</v>
      </c>
    </row>
    <row r="242" spans="1:11" ht="18.45">
      <c r="A242" s="26">
        <v>46107</v>
      </c>
      <c r="B242" s="27" t="str">
        <f t="shared" si="17"/>
        <v>木</v>
      </c>
      <c r="C242" s="28" t="s">
        <v>351</v>
      </c>
      <c r="D242" s="28" t="s">
        <v>155</v>
      </c>
      <c r="E242" s="29">
        <v>30</v>
      </c>
      <c r="F242" s="30" t="s">
        <v>20</v>
      </c>
      <c r="G242" s="30" t="s">
        <v>156</v>
      </c>
      <c r="H242" s="31">
        <v>2500</v>
      </c>
      <c r="I242" s="28" t="s">
        <v>9</v>
      </c>
      <c r="J242" s="7" t="s">
        <v>467</v>
      </c>
      <c r="K242" s="1" t="s">
        <v>800</v>
      </c>
    </row>
    <row r="243" spans="1:11" ht="18.45">
      <c r="A243" s="26">
        <v>46107</v>
      </c>
      <c r="B243" s="27"/>
      <c r="C243" s="28" t="s">
        <v>336</v>
      </c>
      <c r="D243" s="28" t="s">
        <v>24</v>
      </c>
      <c r="E243" s="29">
        <v>50</v>
      </c>
      <c r="F243" s="30" t="s">
        <v>377</v>
      </c>
      <c r="G243" s="30" t="s">
        <v>14</v>
      </c>
      <c r="H243" s="31">
        <v>3000</v>
      </c>
      <c r="I243" s="28" t="s">
        <v>11</v>
      </c>
      <c r="J243" s="7" t="s">
        <v>390</v>
      </c>
      <c r="K243" s="1" t="s">
        <v>800</v>
      </c>
    </row>
    <row r="244" spans="1:11" ht="18.45">
      <c r="A244" s="26">
        <v>46107</v>
      </c>
      <c r="B244" s="27"/>
      <c r="C244" s="28" t="s">
        <v>544</v>
      </c>
      <c r="D244" s="28" t="s">
        <v>263</v>
      </c>
      <c r="E244" s="29">
        <v>30</v>
      </c>
      <c r="F244" s="30" t="s">
        <v>545</v>
      </c>
      <c r="G244" s="30" t="s">
        <v>546</v>
      </c>
      <c r="H244" s="33">
        <v>2000</v>
      </c>
      <c r="I244" s="28" t="s">
        <v>168</v>
      </c>
      <c r="J244" s="6" t="s">
        <v>547</v>
      </c>
      <c r="K244" s="1" t="s">
        <v>800</v>
      </c>
    </row>
    <row r="245" spans="1:11" ht="18.45">
      <c r="A245" s="26">
        <v>46107</v>
      </c>
      <c r="B245" s="27"/>
      <c r="C245" s="28" t="s">
        <v>255</v>
      </c>
      <c r="D245" s="28" t="s">
        <v>251</v>
      </c>
      <c r="E245" s="29">
        <v>30</v>
      </c>
      <c r="F245" s="30" t="s">
        <v>256</v>
      </c>
      <c r="G245" s="30" t="s">
        <v>48</v>
      </c>
      <c r="H245" s="32">
        <v>3000</v>
      </c>
      <c r="I245" s="28" t="s">
        <v>9</v>
      </c>
      <c r="J245" s="6" t="s">
        <v>548</v>
      </c>
      <c r="K245" s="1" t="s">
        <v>800</v>
      </c>
    </row>
    <row r="246" spans="1:11" ht="18.45">
      <c r="A246" s="26">
        <v>46111</v>
      </c>
      <c r="B246" s="27" t="str">
        <f t="shared" si="17"/>
        <v>月</v>
      </c>
      <c r="C246" s="28" t="s">
        <v>449</v>
      </c>
      <c r="D246" s="28" t="s">
        <v>151</v>
      </c>
      <c r="E246" s="29">
        <v>90</v>
      </c>
      <c r="F246" s="30" t="s">
        <v>402</v>
      </c>
      <c r="G246" s="30" t="s">
        <v>576</v>
      </c>
      <c r="H246" s="31">
        <v>0</v>
      </c>
      <c r="I246" s="28" t="s">
        <v>168</v>
      </c>
      <c r="J246" s="7" t="s">
        <v>549</v>
      </c>
      <c r="K246" s="1" t="s">
        <v>800</v>
      </c>
    </row>
    <row r="247" spans="1:11" ht="18.45">
      <c r="A247" s="26">
        <v>46114</v>
      </c>
      <c r="B247" s="27" t="str">
        <f t="shared" si="17"/>
        <v>木</v>
      </c>
      <c r="C247" s="28" t="s">
        <v>500</v>
      </c>
      <c r="D247" s="28" t="s">
        <v>216</v>
      </c>
      <c r="E247" s="29">
        <v>30</v>
      </c>
      <c r="F247" s="30" t="s">
        <v>235</v>
      </c>
      <c r="G247" s="30" t="s">
        <v>195</v>
      </c>
      <c r="H247" s="31">
        <v>0</v>
      </c>
      <c r="I247" s="28" t="s">
        <v>31</v>
      </c>
      <c r="J247" s="6" t="s">
        <v>191</v>
      </c>
      <c r="K247" s="1" t="s">
        <v>800</v>
      </c>
    </row>
    <row r="248" spans="1:11" ht="18.45">
      <c r="A248" s="26">
        <v>46116</v>
      </c>
      <c r="B248" s="27" t="str">
        <f t="shared" si="17"/>
        <v>土</v>
      </c>
      <c r="C248" s="28" t="s">
        <v>336</v>
      </c>
      <c r="D248" s="28" t="s">
        <v>87</v>
      </c>
      <c r="E248" s="29">
        <v>30</v>
      </c>
      <c r="F248" s="30" t="s">
        <v>13</v>
      </c>
      <c r="G248" s="30"/>
      <c r="H248" s="31">
        <v>2000</v>
      </c>
      <c r="I248" s="28" t="s">
        <v>9</v>
      </c>
      <c r="J248" s="6" t="s">
        <v>600</v>
      </c>
      <c r="K248" s="1" t="s">
        <v>800</v>
      </c>
    </row>
    <row r="249" spans="1:11" ht="18.45">
      <c r="A249" s="26">
        <v>46119</v>
      </c>
      <c r="B249" s="27" t="str">
        <f t="shared" ref="B249" si="18">TEXT(A249,"aaa")</f>
        <v>火</v>
      </c>
      <c r="C249" s="28" t="s">
        <v>336</v>
      </c>
      <c r="D249" s="28" t="s">
        <v>306</v>
      </c>
      <c r="E249" s="29">
        <v>50</v>
      </c>
      <c r="F249" s="30" t="s">
        <v>13</v>
      </c>
      <c r="G249" s="30" t="s">
        <v>14</v>
      </c>
      <c r="H249" s="31">
        <v>3000</v>
      </c>
      <c r="I249" s="28" t="s">
        <v>9</v>
      </c>
      <c r="J249" s="6" t="s">
        <v>601</v>
      </c>
      <c r="K249" s="1" t="s">
        <v>800</v>
      </c>
    </row>
    <row r="250" spans="1:11" ht="18.45">
      <c r="A250" s="26">
        <v>46119</v>
      </c>
      <c r="B250" s="27"/>
      <c r="C250" s="28" t="s">
        <v>602</v>
      </c>
      <c r="D250" s="28" t="s">
        <v>24</v>
      </c>
      <c r="E250" s="29">
        <v>50</v>
      </c>
      <c r="F250" s="30" t="s">
        <v>26</v>
      </c>
      <c r="G250" s="30" t="s">
        <v>105</v>
      </c>
      <c r="H250" s="31">
        <v>0</v>
      </c>
      <c r="I250" s="28" t="s">
        <v>9</v>
      </c>
      <c r="J250" s="6" t="s">
        <v>603</v>
      </c>
      <c r="K250" s="1" t="s">
        <v>800</v>
      </c>
    </row>
    <row r="251" spans="1:11" ht="18.45">
      <c r="A251" s="26">
        <v>46119</v>
      </c>
      <c r="B251" s="27"/>
      <c r="C251" s="28" t="s">
        <v>523</v>
      </c>
      <c r="D251" s="28" t="s">
        <v>263</v>
      </c>
      <c r="E251" s="29">
        <v>30</v>
      </c>
      <c r="F251" s="30" t="s">
        <v>524</v>
      </c>
      <c r="G251" s="30" t="s">
        <v>525</v>
      </c>
      <c r="H251" s="31">
        <v>2000</v>
      </c>
      <c r="I251" s="28" t="s">
        <v>9</v>
      </c>
      <c r="J251" s="7" t="s">
        <v>550</v>
      </c>
      <c r="K251" s="1" t="s">
        <v>800</v>
      </c>
    </row>
    <row r="252" spans="1:11" ht="18.45">
      <c r="A252" s="26">
        <v>46120</v>
      </c>
      <c r="B252" s="27" t="str">
        <f>TEXT(A252,"aaa")</f>
        <v>水</v>
      </c>
      <c r="C252" s="34" t="s">
        <v>551</v>
      </c>
      <c r="D252" s="34" t="s">
        <v>552</v>
      </c>
      <c r="E252" s="35">
        <v>10</v>
      </c>
      <c r="F252" s="36" t="s">
        <v>553</v>
      </c>
      <c r="G252" s="36" t="s">
        <v>554</v>
      </c>
      <c r="H252" s="37">
        <v>2000</v>
      </c>
      <c r="I252" s="28" t="s">
        <v>9</v>
      </c>
      <c r="J252" s="7" t="s">
        <v>555</v>
      </c>
      <c r="K252" s="1" t="s">
        <v>800</v>
      </c>
    </row>
    <row r="253" spans="1:11" ht="18.45">
      <c r="A253" s="26">
        <v>46120</v>
      </c>
      <c r="B253" s="27"/>
      <c r="C253" s="38" t="s">
        <v>521</v>
      </c>
      <c r="D253" s="38" t="s">
        <v>151</v>
      </c>
      <c r="E253" s="39">
        <v>50</v>
      </c>
      <c r="F253" s="40" t="s">
        <v>368</v>
      </c>
      <c r="G253" s="40" t="s">
        <v>21</v>
      </c>
      <c r="H253" s="32">
        <v>3000</v>
      </c>
      <c r="I253" s="38" t="s">
        <v>168</v>
      </c>
      <c r="J253" s="6" t="s">
        <v>556</v>
      </c>
      <c r="K253" s="1" t="s">
        <v>800</v>
      </c>
    </row>
    <row r="254" spans="1:11" ht="18.45">
      <c r="A254" s="26">
        <v>46120</v>
      </c>
      <c r="B254" s="27"/>
      <c r="C254" s="28" t="s">
        <v>557</v>
      </c>
      <c r="D254" s="28" t="s">
        <v>446</v>
      </c>
      <c r="E254" s="29"/>
      <c r="F254" s="30" t="s">
        <v>569</v>
      </c>
      <c r="G254" s="30" t="s">
        <v>30</v>
      </c>
      <c r="H254" s="31">
        <v>0</v>
      </c>
      <c r="I254" s="28" t="s">
        <v>31</v>
      </c>
      <c r="J254" s="7" t="s">
        <v>32</v>
      </c>
      <c r="K254" s="1" t="s">
        <v>800</v>
      </c>
    </row>
    <row r="255" spans="1:11" ht="18.45">
      <c r="A255" s="26">
        <v>46121</v>
      </c>
      <c r="B255" s="27" t="str">
        <f t="shared" ref="B255" si="19">TEXT(A255,"aaa")</f>
        <v>木</v>
      </c>
      <c r="C255" s="28" t="s">
        <v>416</v>
      </c>
      <c r="D255" s="28" t="s">
        <v>354</v>
      </c>
      <c r="E255" s="29">
        <v>30</v>
      </c>
      <c r="F255" s="30" t="s">
        <v>77</v>
      </c>
      <c r="G255" s="30" t="s">
        <v>76</v>
      </c>
      <c r="H255" s="31">
        <v>0</v>
      </c>
      <c r="I255" s="28" t="s">
        <v>9</v>
      </c>
      <c r="J255" s="6" t="s">
        <v>604</v>
      </c>
      <c r="K255" s="1" t="s">
        <v>800</v>
      </c>
    </row>
    <row r="256" spans="1:11" ht="18.45">
      <c r="A256" s="26">
        <v>46121</v>
      </c>
      <c r="B256" s="27"/>
      <c r="C256" s="28" t="s">
        <v>568</v>
      </c>
      <c r="D256" s="28" t="s">
        <v>558</v>
      </c>
      <c r="E256" s="29">
        <v>35</v>
      </c>
      <c r="F256" s="30" t="s">
        <v>235</v>
      </c>
      <c r="G256" s="30" t="s">
        <v>195</v>
      </c>
      <c r="H256" s="31">
        <v>0</v>
      </c>
      <c r="I256" s="28" t="s">
        <v>31</v>
      </c>
      <c r="J256" s="6" t="s">
        <v>191</v>
      </c>
      <c r="K256" s="1" t="s">
        <v>800</v>
      </c>
    </row>
    <row r="257" spans="1:11" ht="18.45">
      <c r="A257" s="26">
        <v>46121</v>
      </c>
      <c r="B257" s="27"/>
      <c r="C257" s="28" t="s">
        <v>391</v>
      </c>
      <c r="D257" s="28" t="s">
        <v>428</v>
      </c>
      <c r="E257" s="29">
        <v>50</v>
      </c>
      <c r="F257" s="30" t="s">
        <v>13</v>
      </c>
      <c r="G257" s="30" t="s">
        <v>605</v>
      </c>
      <c r="H257" s="31">
        <v>0</v>
      </c>
      <c r="I257" s="28" t="s">
        <v>9</v>
      </c>
      <c r="J257" s="6" t="s">
        <v>606</v>
      </c>
      <c r="K257" s="1" t="s">
        <v>800</v>
      </c>
    </row>
    <row r="258" spans="1:11" ht="18.45">
      <c r="A258" s="26">
        <v>46121</v>
      </c>
      <c r="B258" s="27"/>
      <c r="C258" s="28" t="s">
        <v>379</v>
      </c>
      <c r="D258" s="28" t="s">
        <v>155</v>
      </c>
      <c r="E258" s="29">
        <v>200</v>
      </c>
      <c r="F258" s="30" t="s">
        <v>13</v>
      </c>
      <c r="G258" s="30" t="s">
        <v>380</v>
      </c>
      <c r="H258" s="31">
        <v>0</v>
      </c>
      <c r="I258" s="28" t="s">
        <v>9</v>
      </c>
      <c r="J258" s="6" t="s">
        <v>607</v>
      </c>
      <c r="K258" s="1" t="s">
        <v>800</v>
      </c>
    </row>
    <row r="259" spans="1:11" ht="18.45">
      <c r="A259" s="26">
        <v>46121</v>
      </c>
      <c r="B259" s="27"/>
      <c r="C259" s="28" t="s">
        <v>507</v>
      </c>
      <c r="D259" s="28" t="s">
        <v>155</v>
      </c>
      <c r="E259" s="29">
        <v>40</v>
      </c>
      <c r="F259" s="30" t="s">
        <v>524</v>
      </c>
      <c r="G259" s="30" t="s">
        <v>525</v>
      </c>
      <c r="H259" s="31">
        <v>2000</v>
      </c>
      <c r="I259" s="28" t="s">
        <v>9</v>
      </c>
      <c r="J259" s="6" t="s">
        <v>559</v>
      </c>
      <c r="K259" s="1" t="s">
        <v>800</v>
      </c>
    </row>
    <row r="260" spans="1:11" ht="18.45">
      <c r="A260" s="26">
        <v>46121</v>
      </c>
      <c r="B260" s="27"/>
      <c r="C260" s="28" t="s">
        <v>412</v>
      </c>
      <c r="D260" s="28" t="s">
        <v>469</v>
      </c>
      <c r="E260" s="29"/>
      <c r="F260" s="30" t="s">
        <v>608</v>
      </c>
      <c r="G260" s="30" t="s">
        <v>609</v>
      </c>
      <c r="H260" s="31">
        <v>0</v>
      </c>
      <c r="I260" s="28" t="s">
        <v>31</v>
      </c>
      <c r="J260" s="7" t="s">
        <v>32</v>
      </c>
      <c r="K260" s="1" t="s">
        <v>800</v>
      </c>
    </row>
    <row r="261" spans="1:11" ht="18.45">
      <c r="A261" s="26">
        <v>46122</v>
      </c>
      <c r="B261" s="27" t="str">
        <f t="shared" si="17"/>
        <v>金</v>
      </c>
      <c r="C261" s="28" t="s">
        <v>507</v>
      </c>
      <c r="D261" s="28" t="s">
        <v>155</v>
      </c>
      <c r="E261" s="29">
        <v>40</v>
      </c>
      <c r="F261" s="30" t="s">
        <v>524</v>
      </c>
      <c r="G261" s="30" t="s">
        <v>525</v>
      </c>
      <c r="H261" s="31">
        <v>2000</v>
      </c>
      <c r="I261" s="28" t="s">
        <v>9</v>
      </c>
      <c r="J261" s="7" t="s">
        <v>559</v>
      </c>
      <c r="K261" s="1" t="s">
        <v>800</v>
      </c>
    </row>
    <row r="262" spans="1:11" ht="18.45">
      <c r="A262" s="26">
        <v>46125</v>
      </c>
      <c r="B262" s="27" t="str">
        <f t="shared" ref="B262" si="20">TEXT(A262,"aaa")</f>
        <v>月</v>
      </c>
      <c r="C262" s="3" t="s">
        <v>336</v>
      </c>
      <c r="D262" s="3" t="s">
        <v>148</v>
      </c>
      <c r="E262" s="12">
        <v>25</v>
      </c>
      <c r="F262" s="13" t="s">
        <v>402</v>
      </c>
      <c r="G262" s="13" t="s">
        <v>147</v>
      </c>
      <c r="H262" s="14">
        <v>0</v>
      </c>
      <c r="I262" s="3" t="s">
        <v>9</v>
      </c>
      <c r="J262" s="6" t="s">
        <v>658</v>
      </c>
      <c r="K262" s="1" t="s">
        <v>800</v>
      </c>
    </row>
    <row r="263" spans="1:11" ht="18.45">
      <c r="A263" s="26">
        <v>46125</v>
      </c>
      <c r="B263" s="27"/>
      <c r="C263" s="28" t="s">
        <v>610</v>
      </c>
      <c r="D263" s="28" t="s">
        <v>479</v>
      </c>
      <c r="E263" s="29">
        <v>60</v>
      </c>
      <c r="F263" s="30" t="s">
        <v>611</v>
      </c>
      <c r="G263" s="30" t="s">
        <v>480</v>
      </c>
      <c r="H263" s="31">
        <v>0</v>
      </c>
      <c r="I263" s="28" t="s">
        <v>9</v>
      </c>
      <c r="J263" s="6" t="s">
        <v>612</v>
      </c>
      <c r="K263" s="1" t="s">
        <v>800</v>
      </c>
    </row>
    <row r="264" spans="1:11" ht="18.45">
      <c r="A264" s="26">
        <v>46125</v>
      </c>
      <c r="B264" s="27"/>
      <c r="C264" s="28" t="s">
        <v>523</v>
      </c>
      <c r="D264" s="28" t="s">
        <v>558</v>
      </c>
      <c r="E264" s="29">
        <v>30</v>
      </c>
      <c r="F264" s="30" t="s">
        <v>26</v>
      </c>
      <c r="G264" s="30" t="s">
        <v>105</v>
      </c>
      <c r="H264" s="31">
        <v>0</v>
      </c>
      <c r="I264" s="28" t="s">
        <v>9</v>
      </c>
      <c r="J264" s="6" t="s">
        <v>613</v>
      </c>
      <c r="K264" s="1" t="s">
        <v>800</v>
      </c>
    </row>
    <row r="265" spans="1:11" ht="18.45">
      <c r="A265" s="26">
        <v>46125</v>
      </c>
      <c r="B265" s="27"/>
      <c r="C265" s="28" t="s">
        <v>507</v>
      </c>
      <c r="D265" s="28" t="s">
        <v>155</v>
      </c>
      <c r="E265" s="29">
        <v>110</v>
      </c>
      <c r="F265" s="30" t="s">
        <v>34</v>
      </c>
      <c r="G265" s="30" t="s">
        <v>35</v>
      </c>
      <c r="H265" s="31">
        <v>0</v>
      </c>
      <c r="I265" s="28" t="s">
        <v>11</v>
      </c>
      <c r="J265" s="7" t="s">
        <v>36</v>
      </c>
      <c r="K265" s="1" t="s">
        <v>800</v>
      </c>
    </row>
    <row r="266" spans="1:11" ht="18.45">
      <c r="A266" s="26">
        <v>46126</v>
      </c>
      <c r="B266" s="27" t="str">
        <f t="shared" si="17"/>
        <v>火</v>
      </c>
      <c r="C266" s="28" t="s">
        <v>523</v>
      </c>
      <c r="D266" s="28" t="s">
        <v>263</v>
      </c>
      <c r="E266" s="29">
        <v>30</v>
      </c>
      <c r="F266" s="30" t="s">
        <v>524</v>
      </c>
      <c r="G266" s="30" t="s">
        <v>525</v>
      </c>
      <c r="H266" s="31">
        <v>2000</v>
      </c>
      <c r="I266" s="28" t="s">
        <v>9</v>
      </c>
      <c r="J266" s="7" t="s">
        <v>550</v>
      </c>
      <c r="K266" s="1" t="s">
        <v>800</v>
      </c>
    </row>
    <row r="267" spans="1:11" ht="18.45">
      <c r="A267" s="26">
        <v>46126</v>
      </c>
      <c r="B267" s="27"/>
      <c r="C267" s="28" t="s">
        <v>22</v>
      </c>
      <c r="D267" s="28" t="s">
        <v>560</v>
      </c>
      <c r="E267" s="29"/>
      <c r="F267" s="30" t="s">
        <v>569</v>
      </c>
      <c r="G267" s="30" t="s">
        <v>30</v>
      </c>
      <c r="H267" s="31">
        <v>0</v>
      </c>
      <c r="I267" s="28" t="s">
        <v>31</v>
      </c>
      <c r="J267" s="7" t="s">
        <v>32</v>
      </c>
      <c r="K267" s="1" t="s">
        <v>800</v>
      </c>
    </row>
    <row r="268" spans="1:11" ht="18.45">
      <c r="A268" s="26">
        <v>46127</v>
      </c>
      <c r="B268" s="27" t="str">
        <f t="shared" si="17"/>
        <v>水</v>
      </c>
      <c r="C268" s="28" t="s">
        <v>614</v>
      </c>
      <c r="D268" s="28" t="s">
        <v>324</v>
      </c>
      <c r="E268" s="29">
        <v>50</v>
      </c>
      <c r="F268" s="30" t="s">
        <v>615</v>
      </c>
      <c r="G268" s="30" t="s">
        <v>616</v>
      </c>
      <c r="H268" s="31">
        <v>3000</v>
      </c>
      <c r="I268" s="28" t="s">
        <v>9</v>
      </c>
      <c r="J268" s="6" t="s">
        <v>617</v>
      </c>
      <c r="K268" s="1" t="s">
        <v>800</v>
      </c>
    </row>
    <row r="269" spans="1:11" ht="18.45">
      <c r="A269" s="26">
        <v>46127</v>
      </c>
      <c r="B269" s="27"/>
      <c r="C269" s="28" t="s">
        <v>440</v>
      </c>
      <c r="D269" s="28" t="s">
        <v>561</v>
      </c>
      <c r="E269" s="29">
        <v>20</v>
      </c>
      <c r="F269" s="30" t="s">
        <v>34</v>
      </c>
      <c r="G269" s="30" t="s">
        <v>35</v>
      </c>
      <c r="H269" s="31">
        <v>0</v>
      </c>
      <c r="I269" s="28" t="s">
        <v>11</v>
      </c>
      <c r="J269" s="7" t="s">
        <v>36</v>
      </c>
      <c r="K269" s="1" t="s">
        <v>800</v>
      </c>
    </row>
    <row r="270" spans="1:11" ht="18.45">
      <c r="A270" s="26">
        <v>46127</v>
      </c>
      <c r="B270" s="27"/>
      <c r="C270" s="28" t="s">
        <v>618</v>
      </c>
      <c r="D270" s="28" t="s">
        <v>24</v>
      </c>
      <c r="E270" s="29"/>
      <c r="F270" s="30" t="s">
        <v>13</v>
      </c>
      <c r="G270" s="30" t="s">
        <v>619</v>
      </c>
      <c r="H270" s="31">
        <v>2000</v>
      </c>
      <c r="I270" s="28" t="s">
        <v>9</v>
      </c>
      <c r="J270" s="6" t="s">
        <v>620</v>
      </c>
      <c r="K270" s="1" t="s">
        <v>800</v>
      </c>
    </row>
    <row r="271" spans="1:11" ht="18.45">
      <c r="A271" s="26">
        <v>46128</v>
      </c>
      <c r="B271" s="27" t="str">
        <f t="shared" si="17"/>
        <v>木</v>
      </c>
      <c r="C271" s="28" t="s">
        <v>453</v>
      </c>
      <c r="D271" s="28" t="s">
        <v>87</v>
      </c>
      <c r="E271" s="29">
        <v>40</v>
      </c>
      <c r="F271" s="30" t="s">
        <v>152</v>
      </c>
      <c r="G271" s="30" t="s">
        <v>10</v>
      </c>
      <c r="H271" s="31">
        <v>3000</v>
      </c>
      <c r="I271" s="28" t="s">
        <v>11</v>
      </c>
      <c r="J271" s="7" t="s">
        <v>33</v>
      </c>
      <c r="K271" s="1" t="s">
        <v>800</v>
      </c>
    </row>
    <row r="272" spans="1:11" ht="18.45">
      <c r="A272" s="26">
        <v>46128</v>
      </c>
      <c r="B272" s="27"/>
      <c r="C272" s="28" t="s">
        <v>562</v>
      </c>
      <c r="D272" s="28" t="s">
        <v>186</v>
      </c>
      <c r="E272" s="29">
        <v>85</v>
      </c>
      <c r="F272" s="30" t="s">
        <v>34</v>
      </c>
      <c r="G272" s="30" t="s">
        <v>35</v>
      </c>
      <c r="H272" s="31">
        <v>0</v>
      </c>
      <c r="I272" s="28" t="s">
        <v>11</v>
      </c>
      <c r="J272" s="7" t="s">
        <v>36</v>
      </c>
      <c r="K272" s="1" t="s">
        <v>800</v>
      </c>
    </row>
    <row r="273" spans="1:11" ht="18.45">
      <c r="A273" s="26">
        <v>46128</v>
      </c>
      <c r="B273" s="27"/>
      <c r="C273" s="28" t="s">
        <v>557</v>
      </c>
      <c r="D273" s="28" t="s">
        <v>188</v>
      </c>
      <c r="E273" s="29"/>
      <c r="F273" s="30" t="s">
        <v>569</v>
      </c>
      <c r="G273" s="30" t="s">
        <v>30</v>
      </c>
      <c r="H273" s="31">
        <v>0</v>
      </c>
      <c r="I273" s="28" t="s">
        <v>31</v>
      </c>
      <c r="J273" s="7" t="s">
        <v>32</v>
      </c>
      <c r="K273" s="1" t="s">
        <v>800</v>
      </c>
    </row>
    <row r="274" spans="1:11" ht="18.45">
      <c r="A274" s="26">
        <v>46128</v>
      </c>
      <c r="B274" s="27"/>
      <c r="C274" s="28" t="s">
        <v>507</v>
      </c>
      <c r="D274" s="28" t="s">
        <v>155</v>
      </c>
      <c r="E274" s="29">
        <v>40</v>
      </c>
      <c r="F274" s="30" t="s">
        <v>524</v>
      </c>
      <c r="G274" s="30" t="s">
        <v>525</v>
      </c>
      <c r="H274" s="31">
        <v>2000</v>
      </c>
      <c r="I274" s="28" t="s">
        <v>9</v>
      </c>
      <c r="J274" s="7" t="s">
        <v>559</v>
      </c>
      <c r="K274" s="1" t="s">
        <v>800</v>
      </c>
    </row>
    <row r="275" spans="1:11" ht="18.45">
      <c r="A275" s="26">
        <v>46129</v>
      </c>
      <c r="B275" s="27" t="str">
        <f>TEXT(A276,"aaa")</f>
        <v>金</v>
      </c>
      <c r="C275" s="28" t="s">
        <v>563</v>
      </c>
      <c r="D275" s="28" t="s">
        <v>211</v>
      </c>
      <c r="E275" s="29"/>
      <c r="F275" s="30" t="s">
        <v>235</v>
      </c>
      <c r="G275" s="30" t="s">
        <v>195</v>
      </c>
      <c r="H275" s="31">
        <v>0</v>
      </c>
      <c r="I275" s="28" t="s">
        <v>31</v>
      </c>
      <c r="J275" s="6" t="s">
        <v>191</v>
      </c>
      <c r="K275" s="1" t="s">
        <v>800</v>
      </c>
    </row>
    <row r="276" spans="1:11" ht="18.45">
      <c r="A276" s="26">
        <v>46129</v>
      </c>
      <c r="B276" s="27"/>
      <c r="C276" s="28" t="s">
        <v>621</v>
      </c>
      <c r="D276" s="28" t="s">
        <v>558</v>
      </c>
      <c r="E276" s="29">
        <v>45</v>
      </c>
      <c r="F276" s="30" t="s">
        <v>13</v>
      </c>
      <c r="G276" s="30" t="s">
        <v>622</v>
      </c>
      <c r="H276" s="31">
        <v>0</v>
      </c>
      <c r="I276" s="28" t="s">
        <v>9</v>
      </c>
      <c r="J276" s="6" t="s">
        <v>623</v>
      </c>
      <c r="K276" s="1" t="s">
        <v>800</v>
      </c>
    </row>
    <row r="277" spans="1:11" ht="18.45">
      <c r="A277" s="26">
        <v>46132</v>
      </c>
      <c r="B277" s="27" t="str">
        <f t="shared" si="17"/>
        <v>月</v>
      </c>
      <c r="C277" s="28" t="s">
        <v>391</v>
      </c>
      <c r="D277" s="28" t="s">
        <v>151</v>
      </c>
      <c r="E277" s="29">
        <v>60</v>
      </c>
      <c r="F277" s="30" t="s">
        <v>13</v>
      </c>
      <c r="G277" s="30" t="s">
        <v>624</v>
      </c>
      <c r="H277" s="31">
        <v>0</v>
      </c>
      <c r="I277" s="28" t="s">
        <v>9</v>
      </c>
      <c r="J277" s="6" t="s">
        <v>625</v>
      </c>
      <c r="K277" s="1" t="s">
        <v>800</v>
      </c>
    </row>
    <row r="278" spans="1:11" ht="18.45">
      <c r="A278" s="26">
        <v>46133</v>
      </c>
      <c r="B278" s="27" t="str">
        <f t="shared" si="17"/>
        <v>火</v>
      </c>
      <c r="C278" s="28" t="s">
        <v>518</v>
      </c>
      <c r="D278" s="28" t="s">
        <v>155</v>
      </c>
      <c r="E278" s="29">
        <v>50</v>
      </c>
      <c r="F278" s="30" t="s">
        <v>402</v>
      </c>
      <c r="G278" s="30"/>
      <c r="H278" s="31">
        <v>0</v>
      </c>
      <c r="I278" s="28" t="s">
        <v>9</v>
      </c>
      <c r="J278" s="6" t="s">
        <v>626</v>
      </c>
      <c r="K278" s="1" t="s">
        <v>800</v>
      </c>
    </row>
    <row r="279" spans="1:11" ht="18.45">
      <c r="A279" s="26">
        <v>46133</v>
      </c>
      <c r="B279" s="27"/>
      <c r="C279" s="3" t="s">
        <v>353</v>
      </c>
      <c r="D279" s="3" t="s">
        <v>446</v>
      </c>
      <c r="E279" s="12">
        <v>35</v>
      </c>
      <c r="F279" s="13" t="s">
        <v>62</v>
      </c>
      <c r="G279" s="13" t="s">
        <v>659</v>
      </c>
      <c r="H279" s="14">
        <v>0</v>
      </c>
      <c r="I279" s="3" t="s">
        <v>9</v>
      </c>
      <c r="J279" s="6" t="s">
        <v>660</v>
      </c>
      <c r="K279" s="1" t="s">
        <v>800</v>
      </c>
    </row>
    <row r="280" spans="1:11" ht="18.45">
      <c r="A280" s="26">
        <v>46133</v>
      </c>
      <c r="B280" s="27"/>
      <c r="C280" s="38" t="s">
        <v>627</v>
      </c>
      <c r="D280" s="38" t="s">
        <v>29</v>
      </c>
      <c r="E280" s="39">
        <v>50</v>
      </c>
      <c r="F280" s="40" t="s">
        <v>447</v>
      </c>
      <c r="G280" s="40" t="s">
        <v>48</v>
      </c>
      <c r="H280" s="32">
        <v>3000</v>
      </c>
      <c r="I280" s="38" t="s">
        <v>9</v>
      </c>
      <c r="J280" s="6" t="s">
        <v>628</v>
      </c>
      <c r="K280" s="1" t="s">
        <v>800</v>
      </c>
    </row>
    <row r="281" spans="1:11" ht="18.45">
      <c r="A281" s="26">
        <v>46133</v>
      </c>
      <c r="B281" s="27"/>
      <c r="C281" s="28" t="s">
        <v>523</v>
      </c>
      <c r="D281" s="28" t="s">
        <v>263</v>
      </c>
      <c r="E281" s="29">
        <v>30</v>
      </c>
      <c r="F281" s="30" t="s">
        <v>524</v>
      </c>
      <c r="G281" s="30" t="s">
        <v>525</v>
      </c>
      <c r="H281" s="31">
        <v>2000</v>
      </c>
      <c r="I281" s="28" t="s">
        <v>9</v>
      </c>
      <c r="J281" s="7" t="s">
        <v>550</v>
      </c>
      <c r="K281" s="1" t="s">
        <v>800</v>
      </c>
    </row>
    <row r="282" spans="1:11" ht="18.45">
      <c r="A282" s="26">
        <v>46134</v>
      </c>
      <c r="B282" s="27" t="str">
        <f t="shared" ref="B282" si="21">TEXT(A282,"aaa")</f>
        <v>水</v>
      </c>
      <c r="C282" s="3" t="s">
        <v>351</v>
      </c>
      <c r="D282" s="3" t="s">
        <v>155</v>
      </c>
      <c r="E282" s="12">
        <v>30</v>
      </c>
      <c r="F282" s="13" t="s">
        <v>20</v>
      </c>
      <c r="G282" s="13" t="s">
        <v>156</v>
      </c>
      <c r="H282" s="14">
        <v>3000</v>
      </c>
      <c r="I282" s="3" t="s">
        <v>9</v>
      </c>
      <c r="J282" s="6" t="s">
        <v>661</v>
      </c>
      <c r="K282" s="1" t="s">
        <v>800</v>
      </c>
    </row>
    <row r="283" spans="1:11" ht="18.45">
      <c r="A283" s="26">
        <v>46134</v>
      </c>
      <c r="B283" s="27"/>
      <c r="C283" s="28" t="s">
        <v>336</v>
      </c>
      <c r="D283" s="28" t="s">
        <v>151</v>
      </c>
      <c r="E283" s="29">
        <v>50</v>
      </c>
      <c r="F283" s="30" t="s">
        <v>15</v>
      </c>
      <c r="G283" s="30" t="s">
        <v>64</v>
      </c>
      <c r="H283" s="31">
        <v>3000</v>
      </c>
      <c r="I283" s="28" t="s">
        <v>9</v>
      </c>
      <c r="J283" s="6" t="s">
        <v>629</v>
      </c>
      <c r="K283" s="1" t="s">
        <v>800</v>
      </c>
    </row>
    <row r="284" spans="1:11" ht="18.45">
      <c r="A284" s="26">
        <v>46134</v>
      </c>
      <c r="B284" s="27"/>
      <c r="C284" s="38" t="s">
        <v>630</v>
      </c>
      <c r="D284" s="38" t="s">
        <v>55</v>
      </c>
      <c r="E284" s="39">
        <v>25</v>
      </c>
      <c r="F284" s="40" t="s">
        <v>447</v>
      </c>
      <c r="G284" s="40" t="s">
        <v>48</v>
      </c>
      <c r="H284" s="32">
        <v>3000</v>
      </c>
      <c r="I284" s="38" t="s">
        <v>9</v>
      </c>
      <c r="J284" s="6" t="s">
        <v>631</v>
      </c>
      <c r="K284" s="1" t="s">
        <v>800</v>
      </c>
    </row>
    <row r="285" spans="1:11" ht="18.45">
      <c r="A285" s="26">
        <v>46134</v>
      </c>
      <c r="B285" s="27"/>
      <c r="C285" s="28" t="s">
        <v>503</v>
      </c>
      <c r="D285" s="28" t="s">
        <v>558</v>
      </c>
      <c r="E285" s="29">
        <v>80</v>
      </c>
      <c r="F285" s="30" t="s">
        <v>564</v>
      </c>
      <c r="G285" s="30" t="s">
        <v>195</v>
      </c>
      <c r="H285" s="33">
        <v>4500</v>
      </c>
      <c r="I285" s="28" t="s">
        <v>31</v>
      </c>
      <c r="J285" s="6" t="s">
        <v>191</v>
      </c>
      <c r="K285" s="1" t="s">
        <v>800</v>
      </c>
    </row>
    <row r="286" spans="1:11" ht="18.45">
      <c r="A286" s="26">
        <v>46134</v>
      </c>
      <c r="B286" s="27"/>
      <c r="C286" s="28" t="s">
        <v>382</v>
      </c>
      <c r="D286" s="28" t="s">
        <v>285</v>
      </c>
      <c r="E286" s="29">
        <v>40</v>
      </c>
      <c r="F286" s="30" t="s">
        <v>13</v>
      </c>
      <c r="G286" s="30" t="s">
        <v>632</v>
      </c>
      <c r="H286" s="31">
        <v>1000</v>
      </c>
      <c r="I286" s="28" t="s">
        <v>9</v>
      </c>
      <c r="J286" s="6" t="s">
        <v>633</v>
      </c>
      <c r="K286" s="1" t="s">
        <v>800</v>
      </c>
    </row>
    <row r="287" spans="1:11" ht="18.45">
      <c r="A287" s="26">
        <v>46134</v>
      </c>
      <c r="B287" s="27"/>
      <c r="C287" s="3" t="s">
        <v>523</v>
      </c>
      <c r="D287" s="3" t="s">
        <v>155</v>
      </c>
      <c r="E287" s="12">
        <v>30</v>
      </c>
      <c r="F287" s="13" t="s">
        <v>662</v>
      </c>
      <c r="G287" s="13" t="s">
        <v>105</v>
      </c>
      <c r="H287" s="14">
        <v>0</v>
      </c>
      <c r="I287" s="3" t="s">
        <v>9</v>
      </c>
      <c r="J287" s="6" t="s">
        <v>663</v>
      </c>
      <c r="K287" s="1" t="s">
        <v>800</v>
      </c>
    </row>
    <row r="288" spans="1:11" ht="18.45">
      <c r="A288" s="26">
        <v>46134</v>
      </c>
      <c r="B288" s="27"/>
      <c r="C288" s="28" t="s">
        <v>250</v>
      </c>
      <c r="D288" s="28" t="s">
        <v>55</v>
      </c>
      <c r="E288" s="29">
        <v>30</v>
      </c>
      <c r="F288" s="30" t="s">
        <v>634</v>
      </c>
      <c r="G288" s="30" t="s">
        <v>48</v>
      </c>
      <c r="H288" s="32">
        <v>3000</v>
      </c>
      <c r="I288" s="28" t="s">
        <v>9</v>
      </c>
      <c r="J288" s="6" t="s">
        <v>635</v>
      </c>
      <c r="K288" s="1" t="s">
        <v>800</v>
      </c>
    </row>
    <row r="289" spans="1:11" ht="18.45">
      <c r="A289" s="26">
        <v>46135</v>
      </c>
      <c r="B289" s="27" t="str">
        <f t="shared" si="17"/>
        <v>木</v>
      </c>
      <c r="C289" s="28" t="s">
        <v>551</v>
      </c>
      <c r="D289" s="28" t="s">
        <v>636</v>
      </c>
      <c r="E289" s="29">
        <v>10</v>
      </c>
      <c r="F289" s="30" t="s">
        <v>13</v>
      </c>
      <c r="G289" s="30" t="s">
        <v>554</v>
      </c>
      <c r="H289" s="31">
        <v>2000</v>
      </c>
      <c r="I289" s="28" t="s">
        <v>9</v>
      </c>
      <c r="J289" s="6" t="s">
        <v>637</v>
      </c>
      <c r="K289" s="1" t="s">
        <v>800</v>
      </c>
    </row>
    <row r="290" spans="1:11" ht="18.45">
      <c r="A290" s="26">
        <v>46135</v>
      </c>
      <c r="B290" s="27"/>
      <c r="C290" s="28" t="s">
        <v>341</v>
      </c>
      <c r="D290" s="28" t="s">
        <v>24</v>
      </c>
      <c r="E290" s="29">
        <v>20</v>
      </c>
      <c r="F290" s="30" t="s">
        <v>152</v>
      </c>
      <c r="G290" s="30" t="s">
        <v>342</v>
      </c>
      <c r="H290" s="31">
        <v>0</v>
      </c>
      <c r="I290" s="28" t="s">
        <v>9</v>
      </c>
      <c r="J290" s="6" t="s">
        <v>638</v>
      </c>
      <c r="K290" s="1" t="s">
        <v>800</v>
      </c>
    </row>
    <row r="291" spans="1:11" ht="18.45">
      <c r="A291" s="26">
        <v>46135</v>
      </c>
      <c r="B291" s="27"/>
      <c r="C291" s="3" t="s">
        <v>602</v>
      </c>
      <c r="D291" s="3" t="s">
        <v>24</v>
      </c>
      <c r="E291" s="12">
        <v>40</v>
      </c>
      <c r="F291" s="13" t="s">
        <v>664</v>
      </c>
      <c r="G291" s="13" t="s">
        <v>480</v>
      </c>
      <c r="H291" s="14">
        <v>0</v>
      </c>
      <c r="I291" s="3" t="s">
        <v>9</v>
      </c>
      <c r="J291" s="6" t="s">
        <v>665</v>
      </c>
      <c r="K291" s="1" t="s">
        <v>800</v>
      </c>
    </row>
    <row r="292" spans="1:11" ht="18.45">
      <c r="A292" s="26">
        <v>46135</v>
      </c>
      <c r="B292" s="27"/>
      <c r="C292" s="28" t="s">
        <v>507</v>
      </c>
      <c r="D292" s="28" t="s">
        <v>155</v>
      </c>
      <c r="E292" s="29">
        <v>40</v>
      </c>
      <c r="F292" s="30" t="s">
        <v>524</v>
      </c>
      <c r="G292" s="30" t="s">
        <v>525</v>
      </c>
      <c r="H292" s="31">
        <v>2000</v>
      </c>
      <c r="I292" s="28" t="s">
        <v>9</v>
      </c>
      <c r="J292" s="7" t="s">
        <v>559</v>
      </c>
      <c r="K292" s="1" t="s">
        <v>800</v>
      </c>
    </row>
    <row r="293" spans="1:11" ht="18.45">
      <c r="A293" s="26">
        <v>46135</v>
      </c>
      <c r="B293" s="27"/>
      <c r="C293" s="38" t="s">
        <v>435</v>
      </c>
      <c r="D293" s="38" t="s">
        <v>211</v>
      </c>
      <c r="E293" s="39">
        <v>30</v>
      </c>
      <c r="F293" s="40" t="s">
        <v>565</v>
      </c>
      <c r="G293" s="40" t="s">
        <v>640</v>
      </c>
      <c r="H293" s="32">
        <v>3000</v>
      </c>
      <c r="I293" s="38" t="s">
        <v>31</v>
      </c>
      <c r="J293" s="6" t="s">
        <v>639</v>
      </c>
      <c r="K293" s="1" t="s">
        <v>800</v>
      </c>
    </row>
    <row r="294" spans="1:11" ht="18.45">
      <c r="A294" s="26">
        <v>46136</v>
      </c>
      <c r="B294" s="27" t="str">
        <f t="shared" ref="B294" si="22">TEXT(A294,"aaa")</f>
        <v>金</v>
      </c>
      <c r="C294" s="3" t="s">
        <v>551</v>
      </c>
      <c r="D294" s="3" t="s">
        <v>324</v>
      </c>
      <c r="E294" s="12">
        <v>10</v>
      </c>
      <c r="F294" s="13" t="s">
        <v>97</v>
      </c>
      <c r="G294" s="13" t="s">
        <v>666</v>
      </c>
      <c r="H294" s="15">
        <v>0</v>
      </c>
      <c r="I294" s="4" t="s">
        <v>9</v>
      </c>
      <c r="J294" s="6" t="s">
        <v>667</v>
      </c>
      <c r="K294" s="1" t="s">
        <v>800</v>
      </c>
    </row>
    <row r="295" spans="1:11" ht="18.45">
      <c r="A295" s="26">
        <v>46136</v>
      </c>
      <c r="B295" s="27"/>
      <c r="C295" s="28" t="s">
        <v>353</v>
      </c>
      <c r="D295" s="28" t="s">
        <v>446</v>
      </c>
      <c r="E295" s="29">
        <v>35</v>
      </c>
      <c r="F295" s="30" t="s">
        <v>62</v>
      </c>
      <c r="G295" s="30" t="s">
        <v>17</v>
      </c>
      <c r="H295" s="31">
        <v>0</v>
      </c>
      <c r="I295" s="28" t="s">
        <v>9</v>
      </c>
      <c r="J295" s="7" t="s">
        <v>566</v>
      </c>
      <c r="K295" s="1" t="s">
        <v>800</v>
      </c>
    </row>
    <row r="296" spans="1:11" ht="18.45">
      <c r="A296" s="26">
        <v>46136</v>
      </c>
      <c r="B296" s="27"/>
      <c r="C296" s="28" t="s">
        <v>336</v>
      </c>
      <c r="D296" s="28" t="s">
        <v>446</v>
      </c>
      <c r="E296" s="29">
        <v>50</v>
      </c>
      <c r="F296" s="30" t="s">
        <v>152</v>
      </c>
      <c r="G296" s="30" t="s">
        <v>14</v>
      </c>
      <c r="H296" s="37">
        <v>3000</v>
      </c>
      <c r="I296" s="34" t="s">
        <v>9</v>
      </c>
      <c r="J296" s="6" t="s">
        <v>536</v>
      </c>
      <c r="K296" s="1" t="s">
        <v>800</v>
      </c>
    </row>
    <row r="297" spans="1:11" ht="18.45">
      <c r="A297" s="26">
        <v>46136</v>
      </c>
      <c r="B297" s="27"/>
      <c r="C297" s="3" t="s">
        <v>507</v>
      </c>
      <c r="D297" s="3" t="s">
        <v>155</v>
      </c>
      <c r="E297" s="12">
        <v>40</v>
      </c>
      <c r="F297" s="13" t="s">
        <v>524</v>
      </c>
      <c r="G297" s="13" t="s">
        <v>525</v>
      </c>
      <c r="H297" s="14">
        <v>2000</v>
      </c>
      <c r="I297" s="3" t="s">
        <v>9</v>
      </c>
      <c r="J297" s="7" t="s">
        <v>559</v>
      </c>
      <c r="K297" s="1" t="s">
        <v>800</v>
      </c>
    </row>
    <row r="298" spans="1:11" ht="18.45">
      <c r="A298" s="26">
        <v>46139</v>
      </c>
      <c r="B298" s="27" t="str">
        <f t="shared" si="17"/>
        <v>月</v>
      </c>
      <c r="C298" s="3" t="s">
        <v>341</v>
      </c>
      <c r="D298" s="3" t="s">
        <v>419</v>
      </c>
      <c r="E298" s="12">
        <v>130</v>
      </c>
      <c r="F298" s="13" t="s">
        <v>152</v>
      </c>
      <c r="G298" s="13" t="s">
        <v>308</v>
      </c>
      <c r="H298" s="14">
        <v>0</v>
      </c>
      <c r="I298" s="3" t="s">
        <v>9</v>
      </c>
      <c r="J298" s="6" t="s">
        <v>668</v>
      </c>
      <c r="K298" s="1" t="s">
        <v>800</v>
      </c>
    </row>
    <row r="299" spans="1:11" ht="18.45">
      <c r="A299" s="26">
        <v>46140</v>
      </c>
      <c r="B299" s="27" t="str">
        <f t="shared" si="17"/>
        <v>火</v>
      </c>
      <c r="C299" s="28" t="s">
        <v>336</v>
      </c>
      <c r="D299" s="28" t="s">
        <v>24</v>
      </c>
      <c r="E299" s="29">
        <v>50</v>
      </c>
      <c r="F299" s="30" t="s">
        <v>377</v>
      </c>
      <c r="G299" s="30" t="s">
        <v>14</v>
      </c>
      <c r="H299" s="31">
        <v>3000</v>
      </c>
      <c r="I299" s="28" t="s">
        <v>11</v>
      </c>
      <c r="J299" s="7" t="s">
        <v>390</v>
      </c>
      <c r="K299" s="1" t="s">
        <v>800</v>
      </c>
    </row>
    <row r="300" spans="1:11" ht="18.45">
      <c r="A300" s="26">
        <v>46140</v>
      </c>
      <c r="B300" s="27"/>
      <c r="C300" s="28" t="s">
        <v>453</v>
      </c>
      <c r="D300" s="28" t="s">
        <v>29</v>
      </c>
      <c r="E300" s="29">
        <v>40</v>
      </c>
      <c r="F300" s="30" t="s">
        <v>152</v>
      </c>
      <c r="G300" s="30" t="s">
        <v>10</v>
      </c>
      <c r="H300" s="31">
        <v>3000</v>
      </c>
      <c r="I300" s="28" t="s">
        <v>11</v>
      </c>
      <c r="J300" s="7" t="s">
        <v>33</v>
      </c>
      <c r="K300" s="1" t="s">
        <v>800</v>
      </c>
    </row>
    <row r="301" spans="1:11" ht="18.45">
      <c r="A301" s="26">
        <v>46140</v>
      </c>
      <c r="B301" s="27"/>
      <c r="C301" s="28" t="s">
        <v>408</v>
      </c>
      <c r="D301" s="28" t="s">
        <v>306</v>
      </c>
      <c r="E301" s="29">
        <v>200</v>
      </c>
      <c r="F301" s="30" t="s">
        <v>25</v>
      </c>
      <c r="G301" s="30" t="s">
        <v>641</v>
      </c>
      <c r="H301" s="31">
        <v>0</v>
      </c>
      <c r="I301" s="28" t="s">
        <v>9</v>
      </c>
      <c r="J301" s="6" t="s">
        <v>642</v>
      </c>
      <c r="K301" s="1" t="s">
        <v>800</v>
      </c>
    </row>
    <row r="302" spans="1:11" ht="18.45">
      <c r="A302" s="26">
        <v>46140</v>
      </c>
      <c r="B302" s="27"/>
      <c r="C302" s="28" t="s">
        <v>523</v>
      </c>
      <c r="D302" s="28" t="s">
        <v>263</v>
      </c>
      <c r="E302" s="29">
        <v>30</v>
      </c>
      <c r="F302" s="30" t="s">
        <v>524</v>
      </c>
      <c r="G302" s="30" t="s">
        <v>525</v>
      </c>
      <c r="H302" s="31">
        <v>2000</v>
      </c>
      <c r="I302" s="28" t="s">
        <v>9</v>
      </c>
      <c r="J302" s="7" t="s">
        <v>550</v>
      </c>
      <c r="K302" s="1" t="s">
        <v>800</v>
      </c>
    </row>
    <row r="303" spans="1:11" ht="18.45">
      <c r="A303" s="26">
        <v>46149</v>
      </c>
      <c r="B303" s="27" t="str">
        <f t="shared" si="17"/>
        <v>木</v>
      </c>
      <c r="C303" s="3" t="s">
        <v>351</v>
      </c>
      <c r="D303" s="3" t="s">
        <v>306</v>
      </c>
      <c r="E303" s="12">
        <v>50</v>
      </c>
      <c r="F303" s="13" t="s">
        <v>13</v>
      </c>
      <c r="G303" s="13" t="s">
        <v>14</v>
      </c>
      <c r="H303" s="14">
        <v>3000</v>
      </c>
      <c r="I303" s="3" t="s">
        <v>9</v>
      </c>
      <c r="J303" s="6" t="s">
        <v>669</v>
      </c>
      <c r="K303" s="1" t="s">
        <v>800</v>
      </c>
    </row>
    <row r="304" spans="1:11" ht="18.45">
      <c r="A304" s="26">
        <v>46150</v>
      </c>
      <c r="B304" s="27" t="str">
        <f t="shared" si="17"/>
        <v>金</v>
      </c>
      <c r="C304" s="28" t="s">
        <v>507</v>
      </c>
      <c r="D304" s="28" t="s">
        <v>155</v>
      </c>
      <c r="E304" s="29">
        <v>40</v>
      </c>
      <c r="F304" s="30" t="s">
        <v>524</v>
      </c>
      <c r="G304" s="30" t="s">
        <v>525</v>
      </c>
      <c r="H304" s="31">
        <v>2000</v>
      </c>
      <c r="I304" s="28" t="s">
        <v>9</v>
      </c>
      <c r="J304" s="7" t="s">
        <v>559</v>
      </c>
      <c r="K304" s="1" t="s">
        <v>800</v>
      </c>
    </row>
    <row r="305" spans="1:11" ht="18.45">
      <c r="A305" s="26">
        <v>46153</v>
      </c>
      <c r="B305" s="27" t="str">
        <f t="shared" ref="B305:B330" si="23">TEXT(A305,"aaa")</f>
        <v>月</v>
      </c>
      <c r="C305" s="3" t="s">
        <v>610</v>
      </c>
      <c r="D305" s="3" t="s">
        <v>479</v>
      </c>
      <c r="E305" s="12">
        <v>60</v>
      </c>
      <c r="F305" s="13" t="s">
        <v>152</v>
      </c>
      <c r="G305" s="13" t="s">
        <v>480</v>
      </c>
      <c r="H305" s="14">
        <v>0</v>
      </c>
      <c r="I305" s="3" t="s">
        <v>9</v>
      </c>
      <c r="J305" s="6" t="s">
        <v>691</v>
      </c>
      <c r="K305" s="1" t="s">
        <v>800</v>
      </c>
    </row>
    <row r="306" spans="1:11" ht="18.45" customHeight="1">
      <c r="A306" s="26">
        <v>46154</v>
      </c>
      <c r="B306" s="27" t="s">
        <v>670</v>
      </c>
      <c r="C306" s="47" t="s">
        <v>627</v>
      </c>
      <c r="D306" s="28" t="s">
        <v>16</v>
      </c>
      <c r="E306" s="29">
        <v>50</v>
      </c>
      <c r="F306" s="30" t="s">
        <v>447</v>
      </c>
      <c r="G306" s="30" t="s">
        <v>48</v>
      </c>
      <c r="H306" s="31">
        <v>3000</v>
      </c>
      <c r="I306" s="28" t="s">
        <v>11</v>
      </c>
      <c r="J306" s="7" t="s">
        <v>671</v>
      </c>
      <c r="K306" s="1" t="s">
        <v>800</v>
      </c>
    </row>
    <row r="307" spans="1:11" ht="18.45">
      <c r="A307" s="26">
        <v>46154</v>
      </c>
      <c r="B307" s="27"/>
      <c r="C307" s="3" t="s">
        <v>523</v>
      </c>
      <c r="D307" s="28" t="s">
        <v>72</v>
      </c>
      <c r="E307" s="29">
        <v>30</v>
      </c>
      <c r="F307" s="30" t="s">
        <v>524</v>
      </c>
      <c r="G307" s="30" t="s">
        <v>525</v>
      </c>
      <c r="H307" s="31">
        <v>2000</v>
      </c>
      <c r="I307" s="28" t="s">
        <v>9</v>
      </c>
      <c r="J307" s="7" t="s">
        <v>550</v>
      </c>
      <c r="K307" s="1" t="s">
        <v>800</v>
      </c>
    </row>
    <row r="308" spans="1:11" ht="18.45">
      <c r="A308" s="26">
        <v>46155</v>
      </c>
      <c r="B308" s="27" t="s">
        <v>672</v>
      </c>
      <c r="C308" s="3" t="s">
        <v>695</v>
      </c>
      <c r="D308" s="28" t="s">
        <v>692</v>
      </c>
      <c r="E308" s="29">
        <v>40</v>
      </c>
      <c r="F308" s="30" t="s">
        <v>13</v>
      </c>
      <c r="G308" s="30" t="s">
        <v>632</v>
      </c>
      <c r="H308" s="31">
        <v>1000</v>
      </c>
      <c r="I308" s="28" t="s">
        <v>9</v>
      </c>
      <c r="J308" s="7" t="s">
        <v>693</v>
      </c>
      <c r="K308" s="1" t="s">
        <v>800</v>
      </c>
    </row>
    <row r="309" spans="1:11" ht="18.45">
      <c r="A309" s="26">
        <v>46155</v>
      </c>
      <c r="B309" s="27"/>
      <c r="C309" s="3" t="s">
        <v>696</v>
      </c>
      <c r="D309" s="28" t="s">
        <v>61</v>
      </c>
      <c r="E309" s="29">
        <v>50</v>
      </c>
      <c r="F309" s="30" t="s">
        <v>26</v>
      </c>
      <c r="G309" s="30" t="s">
        <v>105</v>
      </c>
      <c r="H309" s="31">
        <v>0</v>
      </c>
      <c r="I309" s="28" t="s">
        <v>9</v>
      </c>
      <c r="J309" s="7" t="s">
        <v>694</v>
      </c>
      <c r="K309" s="1" t="s">
        <v>800</v>
      </c>
    </row>
    <row r="310" spans="1:11" ht="18.45">
      <c r="A310" s="26">
        <v>46155</v>
      </c>
      <c r="B310" s="27"/>
      <c r="C310" s="3" t="s">
        <v>697</v>
      </c>
      <c r="D310" s="28" t="s">
        <v>19</v>
      </c>
      <c r="E310" s="29">
        <v>110</v>
      </c>
      <c r="F310" s="30" t="s">
        <v>34</v>
      </c>
      <c r="G310" s="30" t="s">
        <v>35</v>
      </c>
      <c r="H310" s="31">
        <v>0</v>
      </c>
      <c r="I310" s="28" t="s">
        <v>11</v>
      </c>
      <c r="J310" s="7" t="s">
        <v>36</v>
      </c>
      <c r="K310" s="1" t="s">
        <v>800</v>
      </c>
    </row>
    <row r="311" spans="1:11" ht="18.45">
      <c r="A311" s="26">
        <v>46155</v>
      </c>
      <c r="B311" s="27" t="s">
        <v>672</v>
      </c>
      <c r="C311" s="48" t="s">
        <v>250</v>
      </c>
      <c r="D311" s="28" t="s">
        <v>436</v>
      </c>
      <c r="E311" s="29">
        <v>30</v>
      </c>
      <c r="F311" s="30" t="s">
        <v>634</v>
      </c>
      <c r="G311" s="30" t="s">
        <v>48</v>
      </c>
      <c r="H311" s="33">
        <v>3000</v>
      </c>
      <c r="I311" s="28" t="s">
        <v>11</v>
      </c>
      <c r="J311" s="7" t="s">
        <v>673</v>
      </c>
      <c r="K311" s="1" t="s">
        <v>800</v>
      </c>
    </row>
    <row r="312" spans="1:11" ht="18.45">
      <c r="A312" s="26">
        <v>46156</v>
      </c>
      <c r="B312" s="27" t="s">
        <v>674</v>
      </c>
      <c r="C312" s="3" t="s">
        <v>645</v>
      </c>
      <c r="D312" s="28" t="s">
        <v>92</v>
      </c>
      <c r="E312" s="29">
        <v>50</v>
      </c>
      <c r="F312" s="30" t="s">
        <v>93</v>
      </c>
      <c r="G312" s="30" t="s">
        <v>643</v>
      </c>
      <c r="H312" s="31">
        <v>0</v>
      </c>
      <c r="I312" s="28" t="s">
        <v>9</v>
      </c>
      <c r="J312" s="7" t="s">
        <v>644</v>
      </c>
      <c r="K312" s="1" t="s">
        <v>800</v>
      </c>
    </row>
    <row r="313" spans="1:11" ht="18.45">
      <c r="A313" s="26">
        <v>46156</v>
      </c>
      <c r="B313" s="27"/>
      <c r="C313" s="3" t="s">
        <v>471</v>
      </c>
      <c r="D313" s="28" t="s">
        <v>19</v>
      </c>
      <c r="E313" s="29">
        <v>120</v>
      </c>
      <c r="F313" s="30" t="s">
        <v>34</v>
      </c>
      <c r="G313" s="30"/>
      <c r="H313" s="31">
        <v>2000</v>
      </c>
      <c r="I313" s="28" t="s">
        <v>9</v>
      </c>
      <c r="J313" s="7" t="s">
        <v>567</v>
      </c>
      <c r="K313" s="1" t="s">
        <v>800</v>
      </c>
    </row>
    <row r="314" spans="1:11" ht="18.45">
      <c r="A314" s="26">
        <v>46156</v>
      </c>
      <c r="B314" s="27"/>
      <c r="C314" s="3" t="s">
        <v>568</v>
      </c>
      <c r="D314" s="28" t="s">
        <v>89</v>
      </c>
      <c r="E314" s="29">
        <v>35</v>
      </c>
      <c r="F314" s="30" t="s">
        <v>235</v>
      </c>
      <c r="G314" s="30" t="s">
        <v>195</v>
      </c>
      <c r="H314" s="31">
        <v>0</v>
      </c>
      <c r="I314" s="28" t="s">
        <v>31</v>
      </c>
      <c r="J314" s="7" t="s">
        <v>191</v>
      </c>
      <c r="K314" s="1" t="s">
        <v>800</v>
      </c>
    </row>
    <row r="315" spans="1:11" ht="18.45">
      <c r="A315" s="26">
        <v>46156</v>
      </c>
      <c r="B315" s="27"/>
      <c r="C315" s="3" t="s">
        <v>507</v>
      </c>
      <c r="D315" s="28" t="s">
        <v>19</v>
      </c>
      <c r="E315" s="29">
        <v>40</v>
      </c>
      <c r="F315" s="30" t="s">
        <v>524</v>
      </c>
      <c r="G315" s="30" t="s">
        <v>525</v>
      </c>
      <c r="H315" s="31">
        <v>2000</v>
      </c>
      <c r="I315" s="28" t="s">
        <v>9</v>
      </c>
      <c r="J315" s="7" t="s">
        <v>559</v>
      </c>
      <c r="K315" s="1" t="s">
        <v>800</v>
      </c>
    </row>
    <row r="316" spans="1:11" ht="18.45">
      <c r="A316" s="26">
        <v>46157</v>
      </c>
      <c r="B316" s="27" t="s">
        <v>675</v>
      </c>
      <c r="C316" s="3" t="s">
        <v>471</v>
      </c>
      <c r="D316" s="28" t="s">
        <v>678</v>
      </c>
      <c r="E316" s="29">
        <v>177</v>
      </c>
      <c r="F316" s="30" t="s">
        <v>646</v>
      </c>
      <c r="G316" s="30" t="s">
        <v>679</v>
      </c>
      <c r="H316" s="31">
        <v>2000</v>
      </c>
      <c r="I316" s="28" t="s">
        <v>9</v>
      </c>
      <c r="J316" s="6" t="s">
        <v>647</v>
      </c>
      <c r="K316" s="1" t="s">
        <v>800</v>
      </c>
    </row>
    <row r="317" spans="1:11" ht="18.45">
      <c r="A317" s="26">
        <v>46157</v>
      </c>
      <c r="B317" s="27"/>
      <c r="C317" s="3" t="s">
        <v>676</v>
      </c>
      <c r="D317" s="28" t="s">
        <v>268</v>
      </c>
      <c r="E317" s="29">
        <v>70</v>
      </c>
      <c r="F317" s="30" t="s">
        <v>267</v>
      </c>
      <c r="G317" s="30" t="s">
        <v>266</v>
      </c>
      <c r="H317" s="31">
        <v>2000</v>
      </c>
      <c r="I317" s="28" t="s">
        <v>9</v>
      </c>
      <c r="J317" s="7" t="s">
        <v>677</v>
      </c>
      <c r="K317" s="1" t="s">
        <v>800</v>
      </c>
    </row>
    <row r="318" spans="1:11" ht="18.45">
      <c r="A318" s="26">
        <v>46157</v>
      </c>
      <c r="B318" s="27"/>
      <c r="C318" s="3" t="s">
        <v>379</v>
      </c>
      <c r="D318" s="3" t="s">
        <v>155</v>
      </c>
      <c r="E318" s="12">
        <v>200</v>
      </c>
      <c r="F318" s="13" t="s">
        <v>152</v>
      </c>
      <c r="G318" s="13" t="s">
        <v>380</v>
      </c>
      <c r="H318" s="14">
        <v>0</v>
      </c>
      <c r="I318" s="3" t="s">
        <v>9</v>
      </c>
      <c r="J318" s="6" t="s">
        <v>698</v>
      </c>
      <c r="K318" s="1" t="s">
        <v>800</v>
      </c>
    </row>
    <row r="319" spans="1:11" ht="18.45">
      <c r="A319" s="26">
        <v>46157</v>
      </c>
      <c r="B319" s="27"/>
      <c r="C319" s="3" t="s">
        <v>507</v>
      </c>
      <c r="D319" s="28" t="s">
        <v>19</v>
      </c>
      <c r="E319" s="29">
        <v>40</v>
      </c>
      <c r="F319" s="30" t="s">
        <v>524</v>
      </c>
      <c r="G319" s="30" t="s">
        <v>525</v>
      </c>
      <c r="H319" s="31">
        <v>2000</v>
      </c>
      <c r="I319" s="28" t="s">
        <v>9</v>
      </c>
      <c r="J319" s="7" t="s">
        <v>559</v>
      </c>
      <c r="K319" s="1" t="s">
        <v>800</v>
      </c>
    </row>
    <row r="320" spans="1:11" ht="18.45">
      <c r="A320" s="26">
        <v>46160</v>
      </c>
      <c r="B320" s="27" t="str">
        <f t="shared" si="23"/>
        <v>月</v>
      </c>
      <c r="C320" s="3" t="s">
        <v>701</v>
      </c>
      <c r="D320" s="3" t="s">
        <v>151</v>
      </c>
      <c r="E320" s="12">
        <v>60</v>
      </c>
      <c r="F320" s="13" t="s">
        <v>152</v>
      </c>
      <c r="G320" s="13" t="s">
        <v>699</v>
      </c>
      <c r="H320" s="14">
        <v>0</v>
      </c>
      <c r="I320" s="3" t="s">
        <v>9</v>
      </c>
      <c r="J320" s="6" t="s">
        <v>700</v>
      </c>
      <c r="K320" s="1" t="s">
        <v>800</v>
      </c>
    </row>
    <row r="321" spans="1:11" ht="18.45">
      <c r="A321" s="26">
        <v>46161</v>
      </c>
      <c r="B321" s="27" t="str">
        <f t="shared" ref="B321" si="24">TEXT(A321,"aaa")</f>
        <v>火</v>
      </c>
      <c r="C321" s="47" t="s">
        <v>680</v>
      </c>
      <c r="D321" s="47" t="s">
        <v>681</v>
      </c>
      <c r="E321" s="49">
        <v>50</v>
      </c>
      <c r="F321" s="50" t="s">
        <v>465</v>
      </c>
      <c r="G321" s="50" t="s">
        <v>48</v>
      </c>
      <c r="H321" s="51">
        <v>3000</v>
      </c>
      <c r="I321" s="47" t="s">
        <v>11</v>
      </c>
      <c r="J321" s="6" t="s">
        <v>682</v>
      </c>
      <c r="K321" s="1" t="s">
        <v>800</v>
      </c>
    </row>
    <row r="322" spans="1:11" ht="18.45">
      <c r="A322" s="26">
        <v>46161</v>
      </c>
      <c r="B322" s="27"/>
      <c r="C322" s="3" t="s">
        <v>353</v>
      </c>
      <c r="D322" s="3" t="s">
        <v>446</v>
      </c>
      <c r="E322" s="12">
        <v>35</v>
      </c>
      <c r="F322" s="13" t="s">
        <v>62</v>
      </c>
      <c r="G322" s="13" t="s">
        <v>17</v>
      </c>
      <c r="H322" s="14">
        <v>0</v>
      </c>
      <c r="I322" s="3" t="s">
        <v>9</v>
      </c>
      <c r="J322" s="6" t="s">
        <v>683</v>
      </c>
      <c r="K322" s="1" t="s">
        <v>800</v>
      </c>
    </row>
    <row r="323" spans="1:11" ht="18.45">
      <c r="A323" s="26">
        <v>46161</v>
      </c>
      <c r="B323" s="27"/>
      <c r="C323" s="28" t="s">
        <v>366</v>
      </c>
      <c r="D323" s="28" t="s">
        <v>24</v>
      </c>
      <c r="E323" s="29">
        <v>40</v>
      </c>
      <c r="F323" s="30" t="s">
        <v>152</v>
      </c>
      <c r="G323" s="30" t="s">
        <v>10</v>
      </c>
      <c r="H323" s="31">
        <v>3000</v>
      </c>
      <c r="I323" s="28" t="s">
        <v>11</v>
      </c>
      <c r="J323" s="7" t="s">
        <v>33</v>
      </c>
      <c r="K323" s="1" t="s">
        <v>800</v>
      </c>
    </row>
    <row r="324" spans="1:11" ht="18.45">
      <c r="A324" s="26">
        <v>46161</v>
      </c>
      <c r="B324" s="27"/>
      <c r="C324" s="28" t="s">
        <v>648</v>
      </c>
      <c r="D324" s="28" t="s">
        <v>446</v>
      </c>
      <c r="E324" s="29">
        <v>300</v>
      </c>
      <c r="F324" s="30" t="s">
        <v>13</v>
      </c>
      <c r="G324" s="30" t="s">
        <v>649</v>
      </c>
      <c r="H324" s="31">
        <v>2000</v>
      </c>
      <c r="I324" s="28" t="s">
        <v>9</v>
      </c>
      <c r="J324" s="6" t="s">
        <v>650</v>
      </c>
      <c r="K324" s="1" t="s">
        <v>800</v>
      </c>
    </row>
    <row r="325" spans="1:11" ht="18.45">
      <c r="A325" s="26">
        <v>46161</v>
      </c>
      <c r="B325" s="27"/>
      <c r="C325" s="3" t="s">
        <v>408</v>
      </c>
      <c r="D325" s="3" t="s">
        <v>306</v>
      </c>
      <c r="E325" s="12">
        <v>200</v>
      </c>
      <c r="F325" s="13" t="s">
        <v>25</v>
      </c>
      <c r="G325" s="13" t="s">
        <v>641</v>
      </c>
      <c r="H325" s="14">
        <v>0</v>
      </c>
      <c r="I325" s="3" t="s">
        <v>9</v>
      </c>
      <c r="J325" s="6" t="s">
        <v>642</v>
      </c>
      <c r="K325" s="1" t="s">
        <v>800</v>
      </c>
    </row>
    <row r="326" spans="1:11" ht="18.45">
      <c r="A326" s="26">
        <v>46161</v>
      </c>
      <c r="B326" s="27"/>
      <c r="C326" s="28" t="s">
        <v>523</v>
      </c>
      <c r="D326" s="28" t="s">
        <v>263</v>
      </c>
      <c r="E326" s="29">
        <v>30</v>
      </c>
      <c r="F326" s="30" t="s">
        <v>524</v>
      </c>
      <c r="G326" s="30" t="s">
        <v>525</v>
      </c>
      <c r="H326" s="31">
        <v>2000</v>
      </c>
      <c r="I326" s="28" t="s">
        <v>9</v>
      </c>
      <c r="J326" s="7" t="s">
        <v>550</v>
      </c>
      <c r="K326" s="1" t="s">
        <v>800</v>
      </c>
    </row>
    <row r="327" spans="1:11" ht="18.45">
      <c r="A327" s="26">
        <v>46161</v>
      </c>
      <c r="B327" s="27"/>
      <c r="C327" s="28" t="s">
        <v>610</v>
      </c>
      <c r="D327" s="28" t="s">
        <v>469</v>
      </c>
      <c r="E327" s="29">
        <v>30</v>
      </c>
      <c r="F327" s="30" t="s">
        <v>34</v>
      </c>
      <c r="G327" s="30" t="s">
        <v>35</v>
      </c>
      <c r="H327" s="31">
        <v>0</v>
      </c>
      <c r="I327" s="28" t="s">
        <v>11</v>
      </c>
      <c r="J327" s="7" t="s">
        <v>36</v>
      </c>
      <c r="K327" s="1" t="s">
        <v>800</v>
      </c>
    </row>
    <row r="328" spans="1:11" ht="18.45">
      <c r="A328" s="26">
        <v>46161</v>
      </c>
      <c r="B328" s="27"/>
      <c r="C328" s="3" t="s">
        <v>602</v>
      </c>
      <c r="D328" s="3" t="s">
        <v>155</v>
      </c>
      <c r="E328" s="12">
        <v>20</v>
      </c>
      <c r="F328" s="13" t="s">
        <v>702</v>
      </c>
      <c r="G328" s="13" t="s">
        <v>703</v>
      </c>
      <c r="H328" s="52">
        <v>2200</v>
      </c>
      <c r="I328" s="3" t="s">
        <v>9</v>
      </c>
      <c r="J328" s="6" t="s">
        <v>704</v>
      </c>
      <c r="K328" s="1" t="s">
        <v>800</v>
      </c>
    </row>
    <row r="329" spans="1:11" ht="18.45">
      <c r="A329" s="26">
        <v>46161</v>
      </c>
      <c r="B329" s="27"/>
      <c r="C329" s="3" t="s">
        <v>705</v>
      </c>
      <c r="D329" s="3" t="s">
        <v>706</v>
      </c>
      <c r="E329" s="12">
        <v>20</v>
      </c>
      <c r="F329" s="13" t="s">
        <v>13</v>
      </c>
      <c r="G329" s="13" t="s">
        <v>707</v>
      </c>
      <c r="H329" s="52">
        <v>2000</v>
      </c>
      <c r="I329" s="3" t="s">
        <v>9</v>
      </c>
      <c r="J329" s="6" t="s">
        <v>708</v>
      </c>
      <c r="K329" s="1" t="s">
        <v>800</v>
      </c>
    </row>
    <row r="330" spans="1:11" ht="18.45">
      <c r="A330" s="26">
        <v>46162</v>
      </c>
      <c r="B330" s="27" t="str">
        <f t="shared" si="23"/>
        <v>水</v>
      </c>
      <c r="C330" s="28" t="s">
        <v>351</v>
      </c>
      <c r="D330" s="28" t="s">
        <v>155</v>
      </c>
      <c r="E330" s="29">
        <v>30</v>
      </c>
      <c r="F330" s="30" t="s">
        <v>20</v>
      </c>
      <c r="G330" s="30" t="s">
        <v>156</v>
      </c>
      <c r="H330" s="31">
        <v>3000</v>
      </c>
      <c r="I330" s="28" t="s">
        <v>11</v>
      </c>
      <c r="J330" s="6" t="s">
        <v>651</v>
      </c>
      <c r="K330" s="1" t="s">
        <v>800</v>
      </c>
    </row>
    <row r="331" spans="1:11" ht="18.45">
      <c r="A331" s="26">
        <v>46162</v>
      </c>
      <c r="B331" s="27"/>
      <c r="C331" s="3" t="s">
        <v>336</v>
      </c>
      <c r="D331" s="3" t="s">
        <v>151</v>
      </c>
      <c r="E331" s="12">
        <v>50</v>
      </c>
      <c r="F331" s="13" t="s">
        <v>15</v>
      </c>
      <c r="G331" s="13" t="s">
        <v>64</v>
      </c>
      <c r="H331" s="14">
        <v>3000</v>
      </c>
      <c r="I331" s="3" t="s">
        <v>9</v>
      </c>
      <c r="J331" s="6" t="s">
        <v>709</v>
      </c>
      <c r="K331" s="1" t="s">
        <v>800</v>
      </c>
    </row>
    <row r="332" spans="1:11" ht="18.45">
      <c r="A332" s="26">
        <v>46162</v>
      </c>
      <c r="B332" s="27"/>
      <c r="C332" s="28" t="s">
        <v>652</v>
      </c>
      <c r="D332" s="28" t="s">
        <v>558</v>
      </c>
      <c r="E332" s="29">
        <v>54</v>
      </c>
      <c r="F332" s="30" t="s">
        <v>34</v>
      </c>
      <c r="G332" s="30" t="s">
        <v>35</v>
      </c>
      <c r="H332" s="31">
        <v>0</v>
      </c>
      <c r="I332" s="28" t="s">
        <v>11</v>
      </c>
      <c r="J332" s="7" t="s">
        <v>36</v>
      </c>
      <c r="K332" s="1" t="s">
        <v>800</v>
      </c>
    </row>
    <row r="333" spans="1:11" ht="18.45">
      <c r="A333" s="26">
        <v>46163</v>
      </c>
      <c r="B333" s="27" t="str">
        <f t="shared" ref="B333" si="25">TEXT(A333,"aaa")</f>
        <v>木</v>
      </c>
      <c r="C333" s="53" t="s">
        <v>336</v>
      </c>
      <c r="D333" s="53" t="s">
        <v>446</v>
      </c>
      <c r="E333" s="54">
        <v>50</v>
      </c>
      <c r="F333" s="55" t="s">
        <v>13</v>
      </c>
      <c r="G333" s="55" t="s">
        <v>14</v>
      </c>
      <c r="H333" s="56">
        <v>3000</v>
      </c>
      <c r="I333" s="53" t="s">
        <v>9</v>
      </c>
      <c r="J333" s="6" t="s">
        <v>710</v>
      </c>
      <c r="K333" s="1" t="s">
        <v>800</v>
      </c>
    </row>
    <row r="334" spans="1:11" ht="18.45">
      <c r="A334" s="26">
        <v>46163</v>
      </c>
      <c r="B334" s="27"/>
      <c r="C334" s="47" t="s">
        <v>684</v>
      </c>
      <c r="D334" s="47" t="s">
        <v>29</v>
      </c>
      <c r="E334" s="49">
        <v>50</v>
      </c>
      <c r="F334" s="50" t="s">
        <v>685</v>
      </c>
      <c r="G334" s="50" t="s">
        <v>48</v>
      </c>
      <c r="H334" s="51">
        <v>3000</v>
      </c>
      <c r="I334" s="47" t="s">
        <v>9</v>
      </c>
      <c r="J334" s="6" t="s">
        <v>686</v>
      </c>
      <c r="K334" s="1" t="s">
        <v>800</v>
      </c>
    </row>
    <row r="335" spans="1:11" ht="18.45">
      <c r="A335" s="26">
        <v>46163</v>
      </c>
      <c r="B335" s="27"/>
      <c r="C335" s="28" t="s">
        <v>22</v>
      </c>
      <c r="D335" s="28" t="s">
        <v>151</v>
      </c>
      <c r="E335" s="29"/>
      <c r="F335" s="30" t="s">
        <v>569</v>
      </c>
      <c r="G335" s="30" t="s">
        <v>30</v>
      </c>
      <c r="H335" s="31">
        <v>0</v>
      </c>
      <c r="I335" s="28" t="s">
        <v>31</v>
      </c>
      <c r="J335" s="7" t="s">
        <v>32</v>
      </c>
      <c r="K335" s="1" t="s">
        <v>800</v>
      </c>
    </row>
    <row r="336" spans="1:11" ht="18.45">
      <c r="A336" s="26">
        <v>46163</v>
      </c>
      <c r="B336" s="27"/>
      <c r="C336" s="28" t="s">
        <v>507</v>
      </c>
      <c r="D336" s="28" t="s">
        <v>155</v>
      </c>
      <c r="E336" s="29">
        <v>40</v>
      </c>
      <c r="F336" s="30" t="s">
        <v>524</v>
      </c>
      <c r="G336" s="30" t="s">
        <v>525</v>
      </c>
      <c r="H336" s="31">
        <v>2000</v>
      </c>
      <c r="I336" s="28" t="s">
        <v>9</v>
      </c>
      <c r="J336" s="7" t="s">
        <v>559</v>
      </c>
      <c r="K336" s="1" t="s">
        <v>800</v>
      </c>
    </row>
    <row r="337" spans="1:11" ht="18.45">
      <c r="A337" s="26">
        <v>46164</v>
      </c>
      <c r="B337" s="27" t="str">
        <f t="shared" ref="B337:B399" si="26">TEXT(A337,"aaa")</f>
        <v>金</v>
      </c>
      <c r="C337" s="28" t="s">
        <v>396</v>
      </c>
      <c r="D337" s="28" t="s">
        <v>24</v>
      </c>
      <c r="E337" s="29">
        <v>30</v>
      </c>
      <c r="F337" s="30" t="s">
        <v>25</v>
      </c>
      <c r="G337" s="30" t="s">
        <v>653</v>
      </c>
      <c r="H337" s="31">
        <v>5500</v>
      </c>
      <c r="I337" s="28" t="s">
        <v>9</v>
      </c>
      <c r="J337" s="6" t="s">
        <v>654</v>
      </c>
      <c r="K337" s="1" t="s">
        <v>800</v>
      </c>
    </row>
    <row r="338" spans="1:11" ht="18.45">
      <c r="A338" s="26">
        <v>46164</v>
      </c>
      <c r="B338" s="27"/>
      <c r="C338" s="28" t="s">
        <v>507</v>
      </c>
      <c r="D338" s="28" t="s">
        <v>155</v>
      </c>
      <c r="E338" s="29">
        <v>40</v>
      </c>
      <c r="F338" s="30" t="s">
        <v>524</v>
      </c>
      <c r="G338" s="30" t="s">
        <v>525</v>
      </c>
      <c r="H338" s="31">
        <v>2000</v>
      </c>
      <c r="I338" s="28" t="s">
        <v>9</v>
      </c>
      <c r="J338" s="7" t="s">
        <v>559</v>
      </c>
      <c r="K338" s="1" t="s">
        <v>800</v>
      </c>
    </row>
    <row r="339" spans="1:11" ht="18.45">
      <c r="A339" s="26">
        <v>46167</v>
      </c>
      <c r="B339" s="27" t="str">
        <f t="shared" si="26"/>
        <v>月</v>
      </c>
      <c r="C339" s="3" t="s">
        <v>336</v>
      </c>
      <c r="D339" s="3" t="s">
        <v>24</v>
      </c>
      <c r="E339" s="12">
        <v>50</v>
      </c>
      <c r="F339" s="13" t="s">
        <v>377</v>
      </c>
      <c r="G339" s="13" t="s">
        <v>14</v>
      </c>
      <c r="H339" s="14">
        <v>3000</v>
      </c>
      <c r="I339" s="3" t="s">
        <v>11</v>
      </c>
      <c r="J339" s="6" t="s">
        <v>687</v>
      </c>
      <c r="K339" s="1" t="s">
        <v>800</v>
      </c>
    </row>
    <row r="340" spans="1:11" ht="18.45">
      <c r="A340" s="26">
        <v>46167</v>
      </c>
      <c r="B340" s="27"/>
      <c r="C340" s="53" t="s">
        <v>705</v>
      </c>
      <c r="D340" s="53" t="s">
        <v>706</v>
      </c>
      <c r="E340" s="54">
        <v>20</v>
      </c>
      <c r="F340" s="55" t="s">
        <v>152</v>
      </c>
      <c r="G340" s="55" t="s">
        <v>707</v>
      </c>
      <c r="H340" s="56">
        <v>0</v>
      </c>
      <c r="I340" s="53" t="s">
        <v>9</v>
      </c>
      <c r="J340" s="6" t="s">
        <v>711</v>
      </c>
      <c r="K340" s="1" t="s">
        <v>800</v>
      </c>
    </row>
    <row r="341" spans="1:11" ht="18.45">
      <c r="A341" s="26">
        <v>46168</v>
      </c>
      <c r="B341" s="27" t="str">
        <f t="shared" si="26"/>
        <v>火</v>
      </c>
      <c r="C341" s="47" t="s">
        <v>630</v>
      </c>
      <c r="D341" s="47" t="s">
        <v>558</v>
      </c>
      <c r="E341" s="49">
        <v>30</v>
      </c>
      <c r="F341" s="50" t="s">
        <v>465</v>
      </c>
      <c r="G341" s="50" t="s">
        <v>48</v>
      </c>
      <c r="H341" s="51">
        <v>2000</v>
      </c>
      <c r="I341" s="47" t="s">
        <v>11</v>
      </c>
      <c r="J341" s="6" t="s">
        <v>688</v>
      </c>
      <c r="K341" s="1" t="s">
        <v>800</v>
      </c>
    </row>
    <row r="342" spans="1:11" ht="18.45">
      <c r="A342" s="26">
        <v>46168</v>
      </c>
      <c r="B342" s="27"/>
      <c r="C342" s="3" t="s">
        <v>412</v>
      </c>
      <c r="D342" s="3" t="s">
        <v>24</v>
      </c>
      <c r="E342" s="12"/>
      <c r="F342" s="13" t="s">
        <v>608</v>
      </c>
      <c r="G342" s="13" t="s">
        <v>609</v>
      </c>
      <c r="H342" s="14">
        <v>0</v>
      </c>
      <c r="I342" s="3" t="s">
        <v>31</v>
      </c>
      <c r="J342" s="7" t="s">
        <v>32</v>
      </c>
      <c r="K342" s="1" t="s">
        <v>800</v>
      </c>
    </row>
    <row r="343" spans="1:11" ht="18.45">
      <c r="A343" s="26">
        <v>46169</v>
      </c>
      <c r="B343" s="27" t="str">
        <f t="shared" si="26"/>
        <v>水</v>
      </c>
      <c r="C343" s="28" t="s">
        <v>351</v>
      </c>
      <c r="D343" s="28" t="s">
        <v>241</v>
      </c>
      <c r="E343" s="29">
        <v>200</v>
      </c>
      <c r="F343" s="30" t="s">
        <v>41</v>
      </c>
      <c r="G343" s="30" t="s">
        <v>260</v>
      </c>
      <c r="H343" s="31">
        <v>0</v>
      </c>
      <c r="I343" s="28" t="s">
        <v>9</v>
      </c>
      <c r="J343" s="6" t="s">
        <v>655</v>
      </c>
      <c r="K343" s="1" t="s">
        <v>800</v>
      </c>
    </row>
    <row r="344" spans="1:11" ht="18.45">
      <c r="A344" s="26">
        <v>46169</v>
      </c>
      <c r="B344" s="27"/>
      <c r="C344" s="47" t="s">
        <v>630</v>
      </c>
      <c r="D344" s="47" t="s">
        <v>24</v>
      </c>
      <c r="E344" s="49">
        <v>30</v>
      </c>
      <c r="F344" s="50" t="s">
        <v>465</v>
      </c>
      <c r="G344" s="50" t="s">
        <v>48</v>
      </c>
      <c r="H344" s="51">
        <v>2000</v>
      </c>
      <c r="I344" s="47" t="s">
        <v>11</v>
      </c>
      <c r="J344" s="6" t="s">
        <v>689</v>
      </c>
      <c r="K344" s="1" t="s">
        <v>800</v>
      </c>
    </row>
    <row r="345" spans="1:11" ht="18.45">
      <c r="A345" s="26">
        <v>46169</v>
      </c>
      <c r="B345" s="27"/>
      <c r="C345" s="28" t="s">
        <v>412</v>
      </c>
      <c r="D345" s="28" t="s">
        <v>558</v>
      </c>
      <c r="E345" s="29"/>
      <c r="F345" s="30" t="s">
        <v>608</v>
      </c>
      <c r="G345" s="30" t="s">
        <v>609</v>
      </c>
      <c r="H345" s="31">
        <v>0</v>
      </c>
      <c r="I345" s="28" t="s">
        <v>31</v>
      </c>
      <c r="J345" s="7" t="s">
        <v>32</v>
      </c>
      <c r="K345" s="1" t="s">
        <v>800</v>
      </c>
    </row>
    <row r="346" spans="1:11" ht="18.45">
      <c r="A346" s="26">
        <v>46170</v>
      </c>
      <c r="B346" s="27" t="str">
        <f t="shared" si="26"/>
        <v>木</v>
      </c>
      <c r="C346" s="28" t="s">
        <v>453</v>
      </c>
      <c r="D346" s="28" t="s">
        <v>29</v>
      </c>
      <c r="E346" s="29">
        <v>40</v>
      </c>
      <c r="F346" s="30" t="s">
        <v>152</v>
      </c>
      <c r="G346" s="30" t="s">
        <v>10</v>
      </c>
      <c r="H346" s="31">
        <v>3000</v>
      </c>
      <c r="I346" s="28" t="s">
        <v>11</v>
      </c>
      <c r="J346" s="7" t="s">
        <v>33</v>
      </c>
      <c r="K346" s="1" t="s">
        <v>800</v>
      </c>
    </row>
    <row r="347" spans="1:11" ht="18.45">
      <c r="A347" s="26">
        <v>46170</v>
      </c>
      <c r="B347" s="27"/>
      <c r="C347" s="38" t="s">
        <v>656</v>
      </c>
      <c r="D347" s="38" t="s">
        <v>469</v>
      </c>
      <c r="E347" s="39">
        <v>30</v>
      </c>
      <c r="F347" s="40" t="s">
        <v>465</v>
      </c>
      <c r="G347" s="40" t="s">
        <v>48</v>
      </c>
      <c r="H347" s="32">
        <v>3000</v>
      </c>
      <c r="I347" s="38" t="s">
        <v>31</v>
      </c>
      <c r="J347" s="6" t="s">
        <v>657</v>
      </c>
      <c r="K347" s="1" t="s">
        <v>800</v>
      </c>
    </row>
    <row r="348" spans="1:11" ht="18.45">
      <c r="A348" s="26">
        <v>46171</v>
      </c>
      <c r="B348" s="27" t="str">
        <f t="shared" si="26"/>
        <v>金</v>
      </c>
      <c r="C348" s="3" t="s">
        <v>712</v>
      </c>
      <c r="D348" s="3" t="s">
        <v>151</v>
      </c>
      <c r="E348" s="12">
        <v>50</v>
      </c>
      <c r="F348" s="13" t="s">
        <v>152</v>
      </c>
      <c r="G348" s="13" t="s">
        <v>270</v>
      </c>
      <c r="H348" s="14">
        <v>0</v>
      </c>
      <c r="I348" s="3" t="s">
        <v>9</v>
      </c>
      <c r="J348" s="6" t="s">
        <v>713</v>
      </c>
      <c r="K348" s="1" t="s">
        <v>800</v>
      </c>
    </row>
    <row r="349" spans="1:11" ht="18.45">
      <c r="A349" s="26">
        <v>46175</v>
      </c>
      <c r="B349" s="27" t="str">
        <f t="shared" si="26"/>
        <v>火</v>
      </c>
      <c r="C349" s="3" t="s">
        <v>523</v>
      </c>
      <c r="D349" s="3" t="s">
        <v>263</v>
      </c>
      <c r="E349" s="12">
        <v>30</v>
      </c>
      <c r="F349" s="13" t="s">
        <v>524</v>
      </c>
      <c r="G349" s="13" t="s">
        <v>525</v>
      </c>
      <c r="H349" s="14">
        <v>2000</v>
      </c>
      <c r="I349" s="3" t="s">
        <v>9</v>
      </c>
      <c r="J349" s="7" t="s">
        <v>550</v>
      </c>
      <c r="K349" s="1" t="s">
        <v>800</v>
      </c>
    </row>
    <row r="350" spans="1:11" ht="18.45">
      <c r="A350" s="26">
        <v>46177</v>
      </c>
      <c r="B350" s="27" t="str">
        <f t="shared" si="26"/>
        <v>木</v>
      </c>
      <c r="C350" s="3" t="s">
        <v>518</v>
      </c>
      <c r="D350" s="3" t="s">
        <v>155</v>
      </c>
      <c r="E350" s="12">
        <v>60</v>
      </c>
      <c r="F350" s="13" t="s">
        <v>402</v>
      </c>
      <c r="G350" s="13"/>
      <c r="H350" s="14">
        <v>0</v>
      </c>
      <c r="I350" s="3" t="s">
        <v>9</v>
      </c>
      <c r="J350" s="6" t="s">
        <v>714</v>
      </c>
      <c r="K350" s="1" t="s">
        <v>800</v>
      </c>
    </row>
    <row r="351" spans="1:11" ht="18.45">
      <c r="A351" s="26">
        <v>46182</v>
      </c>
      <c r="B351" s="27" t="str">
        <f t="shared" si="26"/>
        <v>火</v>
      </c>
      <c r="C351" s="3" t="s">
        <v>523</v>
      </c>
      <c r="D351" s="3" t="s">
        <v>263</v>
      </c>
      <c r="E351" s="12">
        <v>30</v>
      </c>
      <c r="F351" s="13" t="s">
        <v>524</v>
      </c>
      <c r="G351" s="13" t="s">
        <v>525</v>
      </c>
      <c r="H351" s="14">
        <v>2000</v>
      </c>
      <c r="I351" s="3" t="s">
        <v>9</v>
      </c>
      <c r="J351" s="7" t="s">
        <v>550</v>
      </c>
      <c r="K351" s="1" t="s">
        <v>800</v>
      </c>
    </row>
    <row r="352" spans="1:11" ht="18.45">
      <c r="A352" s="26">
        <v>46184</v>
      </c>
      <c r="B352" s="27" t="str">
        <f t="shared" si="26"/>
        <v>木</v>
      </c>
      <c r="C352" s="28" t="s">
        <v>568</v>
      </c>
      <c r="D352" s="28" t="s">
        <v>558</v>
      </c>
      <c r="E352" s="29">
        <v>35</v>
      </c>
      <c r="F352" s="30" t="s">
        <v>235</v>
      </c>
      <c r="G352" s="30" t="s">
        <v>195</v>
      </c>
      <c r="H352" s="31">
        <v>0</v>
      </c>
      <c r="I352" s="28" t="s">
        <v>31</v>
      </c>
      <c r="J352" s="7" t="s">
        <v>191</v>
      </c>
      <c r="K352" s="1" t="s">
        <v>800</v>
      </c>
    </row>
    <row r="353" spans="1:11" ht="18.45">
      <c r="A353" s="26">
        <v>46184</v>
      </c>
      <c r="B353" s="27" t="str">
        <f t="shared" si="26"/>
        <v>木</v>
      </c>
      <c r="C353" s="3" t="s">
        <v>453</v>
      </c>
      <c r="D353" s="3" t="s">
        <v>87</v>
      </c>
      <c r="E353" s="12">
        <v>38</v>
      </c>
      <c r="F353" s="13" t="s">
        <v>152</v>
      </c>
      <c r="G353" s="13" t="s">
        <v>10</v>
      </c>
      <c r="H353" s="14">
        <v>3000</v>
      </c>
      <c r="I353" s="3" t="s">
        <v>11</v>
      </c>
      <c r="J353" s="7" t="s">
        <v>33</v>
      </c>
      <c r="K353" s="1" t="s">
        <v>800</v>
      </c>
    </row>
    <row r="354" spans="1:11" ht="18.45">
      <c r="A354" s="26">
        <v>46184</v>
      </c>
      <c r="B354" s="27" t="str">
        <f t="shared" si="26"/>
        <v>木</v>
      </c>
      <c r="C354" s="3" t="s">
        <v>507</v>
      </c>
      <c r="D354" s="3" t="s">
        <v>155</v>
      </c>
      <c r="E354" s="12">
        <v>40</v>
      </c>
      <c r="F354" s="13" t="s">
        <v>524</v>
      </c>
      <c r="G354" s="13" t="s">
        <v>525</v>
      </c>
      <c r="H354" s="14">
        <v>2000</v>
      </c>
      <c r="I354" s="3" t="s">
        <v>9</v>
      </c>
      <c r="J354" s="6" t="s">
        <v>715</v>
      </c>
      <c r="K354" s="1" t="s">
        <v>800</v>
      </c>
    </row>
    <row r="355" spans="1:11" ht="18.45">
      <c r="A355" s="26">
        <v>46185</v>
      </c>
      <c r="B355" s="27" t="str">
        <f t="shared" si="26"/>
        <v>金</v>
      </c>
      <c r="C355" s="3" t="s">
        <v>507</v>
      </c>
      <c r="D355" s="3" t="s">
        <v>155</v>
      </c>
      <c r="E355" s="12">
        <v>40</v>
      </c>
      <c r="F355" s="13" t="s">
        <v>524</v>
      </c>
      <c r="G355" s="13" t="s">
        <v>525</v>
      </c>
      <c r="H355" s="14">
        <v>2000</v>
      </c>
      <c r="I355" s="3" t="s">
        <v>9</v>
      </c>
      <c r="J355" s="6" t="s">
        <v>716</v>
      </c>
      <c r="K355" s="1" t="s">
        <v>800</v>
      </c>
    </row>
    <row r="356" spans="1:11" ht="18.45">
      <c r="A356" s="26">
        <v>46188</v>
      </c>
      <c r="B356" s="27" t="str">
        <f t="shared" si="26"/>
        <v>月</v>
      </c>
      <c r="C356" s="28" t="s">
        <v>523</v>
      </c>
      <c r="D356" s="28" t="s">
        <v>558</v>
      </c>
      <c r="E356" s="29">
        <v>30</v>
      </c>
      <c r="F356" s="30" t="s">
        <v>26</v>
      </c>
      <c r="G356" s="30" t="s">
        <v>105</v>
      </c>
      <c r="H356" s="31">
        <v>0</v>
      </c>
      <c r="I356" s="28" t="s">
        <v>9</v>
      </c>
      <c r="J356" s="7" t="s">
        <v>722</v>
      </c>
      <c r="K356" s="1" t="s">
        <v>800</v>
      </c>
    </row>
    <row r="357" spans="1:11" ht="18.45">
      <c r="A357" s="26">
        <v>46189</v>
      </c>
      <c r="B357" s="27" t="str">
        <f t="shared" si="26"/>
        <v>火</v>
      </c>
      <c r="C357" s="3" t="s">
        <v>551</v>
      </c>
      <c r="D357" s="3" t="s">
        <v>324</v>
      </c>
      <c r="E357" s="12">
        <v>10</v>
      </c>
      <c r="F357" s="13" t="s">
        <v>97</v>
      </c>
      <c r="G357" s="13" t="s">
        <v>723</v>
      </c>
      <c r="H357" s="14">
        <v>0</v>
      </c>
      <c r="I357" s="3" t="s">
        <v>9</v>
      </c>
      <c r="J357" s="6" t="s">
        <v>724</v>
      </c>
      <c r="K357" s="1" t="s">
        <v>800</v>
      </c>
    </row>
    <row r="358" spans="1:11" ht="18.45">
      <c r="A358" s="26">
        <v>46189</v>
      </c>
      <c r="B358" s="27" t="str">
        <f t="shared" si="26"/>
        <v>火</v>
      </c>
      <c r="C358" s="3" t="s">
        <v>523</v>
      </c>
      <c r="D358" s="3" t="s">
        <v>263</v>
      </c>
      <c r="E358" s="12">
        <v>30</v>
      </c>
      <c r="F358" s="13" t="s">
        <v>524</v>
      </c>
      <c r="G358" s="13" t="s">
        <v>525</v>
      </c>
      <c r="H358" s="14">
        <v>2000</v>
      </c>
      <c r="I358" s="3" t="s">
        <v>9</v>
      </c>
      <c r="J358" s="6" t="s">
        <v>717</v>
      </c>
      <c r="K358" s="1" t="s">
        <v>800</v>
      </c>
    </row>
    <row r="359" spans="1:11" ht="18.45">
      <c r="A359" s="26">
        <v>46190</v>
      </c>
      <c r="B359" s="27" t="str">
        <f t="shared" si="26"/>
        <v>水</v>
      </c>
      <c r="C359" s="3" t="s">
        <v>551</v>
      </c>
      <c r="D359" s="4" t="s">
        <v>552</v>
      </c>
      <c r="E359" s="62">
        <v>10</v>
      </c>
      <c r="F359" s="63" t="s">
        <v>725</v>
      </c>
      <c r="G359" s="63" t="s">
        <v>726</v>
      </c>
      <c r="H359" s="64">
        <v>2000</v>
      </c>
      <c r="I359" s="65" t="s">
        <v>9</v>
      </c>
      <c r="J359" s="10" t="s">
        <v>727</v>
      </c>
      <c r="K359" s="1" t="s">
        <v>800</v>
      </c>
    </row>
    <row r="360" spans="1:11" ht="18.45">
      <c r="A360" s="26">
        <v>46190</v>
      </c>
      <c r="B360" s="27" t="str">
        <f t="shared" si="26"/>
        <v>水</v>
      </c>
      <c r="C360" s="3" t="s">
        <v>336</v>
      </c>
      <c r="D360" s="3" t="s">
        <v>151</v>
      </c>
      <c r="E360" s="12">
        <v>50</v>
      </c>
      <c r="F360" s="13" t="s">
        <v>15</v>
      </c>
      <c r="G360" s="13" t="s">
        <v>64</v>
      </c>
      <c r="H360" s="14">
        <v>3000</v>
      </c>
      <c r="I360" s="3" t="s">
        <v>9</v>
      </c>
      <c r="J360" s="6" t="s">
        <v>728</v>
      </c>
      <c r="K360" s="1" t="s">
        <v>800</v>
      </c>
    </row>
    <row r="361" spans="1:11" ht="18.45">
      <c r="A361" s="26">
        <v>46190</v>
      </c>
      <c r="B361" s="27" t="str">
        <f t="shared" si="26"/>
        <v>水</v>
      </c>
      <c r="C361" s="3" t="s">
        <v>676</v>
      </c>
      <c r="D361" s="3" t="s">
        <v>729</v>
      </c>
      <c r="E361" s="12">
        <v>50</v>
      </c>
      <c r="F361" s="13" t="s">
        <v>13</v>
      </c>
      <c r="G361" s="13" t="s">
        <v>730</v>
      </c>
      <c r="H361" s="14">
        <v>0</v>
      </c>
      <c r="I361" s="3" t="s">
        <v>168</v>
      </c>
      <c r="J361" s="6" t="s">
        <v>731</v>
      </c>
      <c r="K361" s="1" t="s">
        <v>800</v>
      </c>
    </row>
    <row r="362" spans="1:11" ht="18.45">
      <c r="A362" s="26">
        <v>46190</v>
      </c>
      <c r="B362" s="27" t="str">
        <f t="shared" si="26"/>
        <v>水</v>
      </c>
      <c r="C362" s="3" t="s">
        <v>562</v>
      </c>
      <c r="D362" s="3" t="s">
        <v>718</v>
      </c>
      <c r="E362" s="12">
        <v>35</v>
      </c>
      <c r="F362" s="13" t="s">
        <v>34</v>
      </c>
      <c r="G362" s="13" t="s">
        <v>35</v>
      </c>
      <c r="H362" s="14">
        <v>0</v>
      </c>
      <c r="I362" s="3" t="s">
        <v>11</v>
      </c>
      <c r="J362" s="7" t="s">
        <v>36</v>
      </c>
      <c r="K362" s="1" t="s">
        <v>800</v>
      </c>
    </row>
    <row r="363" spans="1:11" ht="18.45">
      <c r="A363" s="26">
        <v>46190</v>
      </c>
      <c r="B363" s="27" t="str">
        <f t="shared" si="26"/>
        <v>水</v>
      </c>
      <c r="C363" s="3" t="s">
        <v>705</v>
      </c>
      <c r="D363" s="3" t="s">
        <v>706</v>
      </c>
      <c r="E363" s="12">
        <v>20</v>
      </c>
      <c r="F363" s="13" t="s">
        <v>152</v>
      </c>
      <c r="G363" s="13" t="s">
        <v>707</v>
      </c>
      <c r="H363" s="14">
        <v>0</v>
      </c>
      <c r="I363" s="3" t="s">
        <v>9</v>
      </c>
      <c r="J363" s="6" t="s">
        <v>732</v>
      </c>
      <c r="K363" s="1" t="s">
        <v>800</v>
      </c>
    </row>
    <row r="364" spans="1:11" ht="18.45">
      <c r="A364" s="26">
        <v>46191</v>
      </c>
      <c r="B364" s="27" t="str">
        <f t="shared" si="26"/>
        <v>木</v>
      </c>
      <c r="C364" s="3" t="s">
        <v>336</v>
      </c>
      <c r="D364" s="3" t="s">
        <v>446</v>
      </c>
      <c r="E364" s="12">
        <v>50</v>
      </c>
      <c r="F364" s="13" t="s">
        <v>13</v>
      </c>
      <c r="G364" s="13" t="s">
        <v>14</v>
      </c>
      <c r="H364" s="14">
        <v>3000</v>
      </c>
      <c r="I364" s="3" t="s">
        <v>9</v>
      </c>
      <c r="J364" s="6" t="s">
        <v>710</v>
      </c>
      <c r="K364" s="1" t="s">
        <v>800</v>
      </c>
    </row>
    <row r="365" spans="1:11" ht="18.45">
      <c r="A365" s="26">
        <v>46191</v>
      </c>
      <c r="B365" s="27" t="str">
        <f t="shared" si="26"/>
        <v>木</v>
      </c>
      <c r="C365" s="3" t="s">
        <v>341</v>
      </c>
      <c r="D365" s="3" t="s">
        <v>24</v>
      </c>
      <c r="E365" s="12">
        <v>40</v>
      </c>
      <c r="F365" s="13" t="s">
        <v>13</v>
      </c>
      <c r="G365" s="13" t="s">
        <v>342</v>
      </c>
      <c r="H365" s="14">
        <v>0</v>
      </c>
      <c r="I365" s="3" t="s">
        <v>9</v>
      </c>
      <c r="J365" s="6" t="s">
        <v>733</v>
      </c>
      <c r="K365" s="1" t="s">
        <v>800</v>
      </c>
    </row>
    <row r="366" spans="1:11" ht="18.45">
      <c r="A366" s="26">
        <v>46191</v>
      </c>
      <c r="B366" s="27" t="str">
        <f t="shared" si="26"/>
        <v>木</v>
      </c>
      <c r="C366" s="3" t="s">
        <v>734</v>
      </c>
      <c r="D366" s="3" t="s">
        <v>735</v>
      </c>
      <c r="E366" s="12">
        <v>25</v>
      </c>
      <c r="F366" s="13" t="s">
        <v>465</v>
      </c>
      <c r="G366" s="13" t="s">
        <v>736</v>
      </c>
      <c r="H366" s="14">
        <v>2000</v>
      </c>
      <c r="I366" s="3" t="s">
        <v>11</v>
      </c>
      <c r="J366" s="6" t="s">
        <v>737</v>
      </c>
      <c r="K366" s="1" t="s">
        <v>800</v>
      </c>
    </row>
    <row r="367" spans="1:11" ht="18.45">
      <c r="A367" s="26">
        <v>46191</v>
      </c>
      <c r="B367" s="27" t="str">
        <f t="shared" si="26"/>
        <v>木</v>
      </c>
      <c r="C367" s="3" t="s">
        <v>440</v>
      </c>
      <c r="D367" s="3" t="s">
        <v>718</v>
      </c>
      <c r="E367" s="12">
        <v>40</v>
      </c>
      <c r="F367" s="13" t="s">
        <v>34</v>
      </c>
      <c r="G367" s="13" t="s">
        <v>35</v>
      </c>
      <c r="H367" s="14">
        <v>0</v>
      </c>
      <c r="I367" s="3" t="s">
        <v>11</v>
      </c>
      <c r="J367" s="7" t="s">
        <v>36</v>
      </c>
      <c r="K367" s="1" t="s">
        <v>800</v>
      </c>
    </row>
    <row r="368" spans="1:11" ht="18.45">
      <c r="A368" s="26">
        <v>46191</v>
      </c>
      <c r="B368" s="27" t="str">
        <f t="shared" si="26"/>
        <v>木</v>
      </c>
      <c r="C368" s="28" t="s">
        <v>22</v>
      </c>
      <c r="D368" s="28" t="s">
        <v>335</v>
      </c>
      <c r="E368" s="29"/>
      <c r="F368" s="30" t="s">
        <v>569</v>
      </c>
      <c r="G368" s="30" t="s">
        <v>30</v>
      </c>
      <c r="H368" s="31">
        <v>0</v>
      </c>
      <c r="I368" s="28" t="s">
        <v>31</v>
      </c>
      <c r="J368" s="7" t="s">
        <v>32</v>
      </c>
      <c r="K368" s="1" t="s">
        <v>800</v>
      </c>
    </row>
    <row r="369" spans="1:11" ht="18.45">
      <c r="A369" s="26">
        <v>46191</v>
      </c>
      <c r="B369" s="27" t="str">
        <f t="shared" si="26"/>
        <v>木</v>
      </c>
      <c r="C369" s="3" t="s">
        <v>507</v>
      </c>
      <c r="D369" s="3" t="s">
        <v>155</v>
      </c>
      <c r="E369" s="12">
        <v>40</v>
      </c>
      <c r="F369" s="13" t="s">
        <v>524</v>
      </c>
      <c r="G369" s="13" t="s">
        <v>525</v>
      </c>
      <c r="H369" s="14">
        <v>2000</v>
      </c>
      <c r="I369" s="3" t="s">
        <v>9</v>
      </c>
      <c r="J369" s="6" t="s">
        <v>719</v>
      </c>
      <c r="K369" s="1" t="s">
        <v>800</v>
      </c>
    </row>
    <row r="370" spans="1:11" ht="18.45">
      <c r="A370" s="26">
        <v>46192</v>
      </c>
      <c r="B370" s="27" t="str">
        <f t="shared" si="26"/>
        <v>金</v>
      </c>
      <c r="C370" s="3" t="s">
        <v>471</v>
      </c>
      <c r="D370" s="3" t="s">
        <v>738</v>
      </c>
      <c r="E370" s="12">
        <v>177</v>
      </c>
      <c r="F370" s="13" t="s">
        <v>646</v>
      </c>
      <c r="G370" s="13" t="s">
        <v>739</v>
      </c>
      <c r="H370" s="14">
        <v>3000</v>
      </c>
      <c r="I370" s="3" t="s">
        <v>9</v>
      </c>
      <c r="J370" s="6" t="s">
        <v>740</v>
      </c>
      <c r="K370" s="1" t="s">
        <v>800</v>
      </c>
    </row>
    <row r="371" spans="1:11" ht="18.45">
      <c r="A371" s="26">
        <v>46192</v>
      </c>
      <c r="B371" s="27" t="str">
        <f t="shared" si="26"/>
        <v>金</v>
      </c>
      <c r="C371" s="3" t="s">
        <v>507</v>
      </c>
      <c r="D371" s="3" t="s">
        <v>155</v>
      </c>
      <c r="E371" s="12">
        <v>40</v>
      </c>
      <c r="F371" s="13" t="s">
        <v>524</v>
      </c>
      <c r="G371" s="13" t="s">
        <v>525</v>
      </c>
      <c r="H371" s="14">
        <v>2000</v>
      </c>
      <c r="I371" s="3" t="s">
        <v>9</v>
      </c>
      <c r="J371" s="7" t="s">
        <v>720</v>
      </c>
      <c r="K371" s="1" t="s">
        <v>800</v>
      </c>
    </row>
    <row r="372" spans="1:11" ht="18.45">
      <c r="A372" s="26">
        <v>46195</v>
      </c>
      <c r="B372" s="27" t="str">
        <f t="shared" si="26"/>
        <v>月</v>
      </c>
      <c r="C372" s="3" t="s">
        <v>336</v>
      </c>
      <c r="D372" s="3" t="s">
        <v>24</v>
      </c>
      <c r="E372" s="12">
        <v>50</v>
      </c>
      <c r="F372" s="13" t="s">
        <v>377</v>
      </c>
      <c r="G372" s="13" t="s">
        <v>14</v>
      </c>
      <c r="H372" s="14">
        <v>3000</v>
      </c>
      <c r="I372" s="3" t="s">
        <v>11</v>
      </c>
      <c r="J372" s="7" t="s">
        <v>687</v>
      </c>
      <c r="K372" s="1" t="s">
        <v>800</v>
      </c>
    </row>
    <row r="373" spans="1:11" ht="18.45">
      <c r="A373" s="26">
        <v>46195</v>
      </c>
      <c r="B373" s="27" t="str">
        <f t="shared" si="26"/>
        <v>月</v>
      </c>
      <c r="C373" s="3" t="s">
        <v>391</v>
      </c>
      <c r="D373" s="3" t="s">
        <v>151</v>
      </c>
      <c r="E373" s="12">
        <v>60</v>
      </c>
      <c r="F373" s="13" t="s">
        <v>152</v>
      </c>
      <c r="G373" s="13" t="s">
        <v>699</v>
      </c>
      <c r="H373" s="14">
        <v>0</v>
      </c>
      <c r="I373" s="3" t="s">
        <v>9</v>
      </c>
      <c r="J373" s="7" t="s">
        <v>741</v>
      </c>
      <c r="K373" s="1" t="s">
        <v>800</v>
      </c>
    </row>
    <row r="374" spans="1:11" ht="18.45">
      <c r="A374" s="26">
        <v>46195</v>
      </c>
      <c r="B374" s="27" t="str">
        <f t="shared" si="26"/>
        <v>月</v>
      </c>
      <c r="C374" s="3" t="s">
        <v>341</v>
      </c>
      <c r="D374" s="3" t="s">
        <v>419</v>
      </c>
      <c r="E374" s="12">
        <v>150</v>
      </c>
      <c r="F374" s="13" t="s">
        <v>13</v>
      </c>
      <c r="G374" s="13" t="s">
        <v>308</v>
      </c>
      <c r="H374" s="14">
        <v>0</v>
      </c>
      <c r="I374" s="3" t="s">
        <v>9</v>
      </c>
      <c r="J374" s="7" t="s">
        <v>742</v>
      </c>
      <c r="K374" s="1" t="s">
        <v>800</v>
      </c>
    </row>
    <row r="375" spans="1:11" ht="18.45">
      <c r="A375" s="26">
        <v>46195</v>
      </c>
      <c r="B375" s="27" t="str">
        <f t="shared" si="26"/>
        <v>月</v>
      </c>
      <c r="C375" s="3" t="s">
        <v>705</v>
      </c>
      <c r="D375" s="3" t="s">
        <v>706</v>
      </c>
      <c r="E375" s="12">
        <v>20</v>
      </c>
      <c r="F375" s="13" t="s">
        <v>13</v>
      </c>
      <c r="G375" s="13" t="s">
        <v>707</v>
      </c>
      <c r="H375" s="14">
        <v>2000</v>
      </c>
      <c r="I375" s="3" t="s">
        <v>9</v>
      </c>
      <c r="J375" s="7" t="s">
        <v>743</v>
      </c>
      <c r="K375" s="1" t="s">
        <v>800</v>
      </c>
    </row>
    <row r="376" spans="1:11" ht="18.45">
      <c r="A376" s="26">
        <v>46196</v>
      </c>
      <c r="B376" s="27" t="str">
        <f t="shared" si="26"/>
        <v>火</v>
      </c>
      <c r="C376" s="3" t="s">
        <v>351</v>
      </c>
      <c r="D376" s="3" t="s">
        <v>558</v>
      </c>
      <c r="E376" s="12">
        <v>60</v>
      </c>
      <c r="F376" s="13" t="s">
        <v>402</v>
      </c>
      <c r="G376" s="3" t="s">
        <v>799</v>
      </c>
      <c r="H376" s="14">
        <v>0</v>
      </c>
      <c r="I376" s="3" t="s">
        <v>9</v>
      </c>
      <c r="J376" s="6" t="s">
        <v>744</v>
      </c>
      <c r="K376" s="1" t="s">
        <v>800</v>
      </c>
    </row>
    <row r="377" spans="1:11" ht="18.45">
      <c r="A377" s="26">
        <v>46196</v>
      </c>
      <c r="B377" s="27" t="str">
        <f t="shared" si="26"/>
        <v>火</v>
      </c>
      <c r="C377" s="3" t="s">
        <v>331</v>
      </c>
      <c r="D377" s="3" t="s">
        <v>745</v>
      </c>
      <c r="E377" s="12">
        <v>20</v>
      </c>
      <c r="F377" s="13" t="s">
        <v>20</v>
      </c>
      <c r="G377" s="13" t="s">
        <v>746</v>
      </c>
      <c r="H377" s="14">
        <v>3000</v>
      </c>
      <c r="I377" s="3" t="s">
        <v>9</v>
      </c>
      <c r="J377" s="6" t="s">
        <v>747</v>
      </c>
      <c r="K377" s="1" t="s">
        <v>800</v>
      </c>
    </row>
    <row r="378" spans="1:11" ht="18.45">
      <c r="A378" s="26">
        <v>46196</v>
      </c>
      <c r="B378" s="27" t="str">
        <f t="shared" si="26"/>
        <v>火</v>
      </c>
      <c r="C378" s="3" t="s">
        <v>627</v>
      </c>
      <c r="D378" s="3" t="s">
        <v>748</v>
      </c>
      <c r="E378" s="12">
        <v>70</v>
      </c>
      <c r="F378" s="13" t="s">
        <v>447</v>
      </c>
      <c r="G378" s="13" t="s">
        <v>48</v>
      </c>
      <c r="H378" s="14">
        <v>3000</v>
      </c>
      <c r="I378" s="3" t="s">
        <v>9</v>
      </c>
      <c r="J378" s="6" t="s">
        <v>749</v>
      </c>
      <c r="K378" s="1" t="s">
        <v>800</v>
      </c>
    </row>
    <row r="379" spans="1:11" ht="18.45">
      <c r="A379" s="26">
        <v>46196</v>
      </c>
      <c r="B379" s="27" t="str">
        <f t="shared" si="26"/>
        <v>火</v>
      </c>
      <c r="C379" s="3" t="s">
        <v>523</v>
      </c>
      <c r="D379" s="3" t="s">
        <v>263</v>
      </c>
      <c r="E379" s="12">
        <v>30</v>
      </c>
      <c r="F379" s="13" t="s">
        <v>524</v>
      </c>
      <c r="G379" s="13" t="s">
        <v>525</v>
      </c>
      <c r="H379" s="14">
        <v>2000</v>
      </c>
      <c r="I379" s="3" t="s">
        <v>9</v>
      </c>
      <c r="J379" s="6" t="s">
        <v>721</v>
      </c>
      <c r="K379" s="1" t="s">
        <v>800</v>
      </c>
    </row>
    <row r="380" spans="1:11" ht="18.45">
      <c r="A380" s="26">
        <v>46196</v>
      </c>
      <c r="B380" s="27" t="str">
        <f t="shared" si="26"/>
        <v>火</v>
      </c>
      <c r="C380" s="3" t="s">
        <v>523</v>
      </c>
      <c r="D380" s="3" t="s">
        <v>406</v>
      </c>
      <c r="E380" s="12">
        <v>50</v>
      </c>
      <c r="F380" s="13" t="s">
        <v>750</v>
      </c>
      <c r="G380" s="13" t="s">
        <v>105</v>
      </c>
      <c r="H380" s="14">
        <v>0</v>
      </c>
      <c r="I380" s="3" t="s">
        <v>9</v>
      </c>
      <c r="J380" s="6" t="s">
        <v>751</v>
      </c>
      <c r="K380" s="1" t="s">
        <v>800</v>
      </c>
    </row>
    <row r="381" spans="1:11" ht="18.45">
      <c r="A381" s="26">
        <v>46197</v>
      </c>
      <c r="B381" s="27" t="str">
        <f t="shared" si="26"/>
        <v>水</v>
      </c>
      <c r="C381" s="3" t="s">
        <v>351</v>
      </c>
      <c r="D381" s="3" t="s">
        <v>155</v>
      </c>
      <c r="E381" s="12">
        <v>30</v>
      </c>
      <c r="F381" s="13" t="s">
        <v>20</v>
      </c>
      <c r="G381" s="13" t="s">
        <v>156</v>
      </c>
      <c r="H381" s="14">
        <v>3000</v>
      </c>
      <c r="I381" s="3" t="s">
        <v>11</v>
      </c>
      <c r="J381" s="6" t="s">
        <v>651</v>
      </c>
      <c r="K381" s="1" t="s">
        <v>800</v>
      </c>
    </row>
    <row r="382" spans="1:11" ht="18.45">
      <c r="A382" s="26">
        <v>46197</v>
      </c>
      <c r="B382" s="27" t="str">
        <f t="shared" si="26"/>
        <v>水</v>
      </c>
      <c r="C382" s="3" t="s">
        <v>630</v>
      </c>
      <c r="D382" s="3" t="s">
        <v>752</v>
      </c>
      <c r="E382" s="12">
        <v>30</v>
      </c>
      <c r="F382" s="13" t="s">
        <v>146</v>
      </c>
      <c r="G382" s="13" t="s">
        <v>147</v>
      </c>
      <c r="H382" s="14">
        <v>0</v>
      </c>
      <c r="I382" s="3" t="s">
        <v>9</v>
      </c>
      <c r="J382" s="6" t="s">
        <v>753</v>
      </c>
      <c r="K382" s="1" t="s">
        <v>800</v>
      </c>
    </row>
    <row r="383" spans="1:11" ht="18.45">
      <c r="A383" s="26">
        <v>46197</v>
      </c>
      <c r="B383" s="27" t="str">
        <f t="shared" si="26"/>
        <v>水</v>
      </c>
      <c r="C383" s="3" t="s">
        <v>341</v>
      </c>
      <c r="D383" s="3" t="s">
        <v>151</v>
      </c>
      <c r="E383" s="12">
        <v>20</v>
      </c>
      <c r="F383" s="13" t="s">
        <v>438</v>
      </c>
      <c r="G383" s="13" t="s">
        <v>120</v>
      </c>
      <c r="H383" s="14">
        <v>0</v>
      </c>
      <c r="I383" s="3" t="s">
        <v>9</v>
      </c>
      <c r="J383" s="6" t="s">
        <v>754</v>
      </c>
      <c r="K383" s="1" t="s">
        <v>800</v>
      </c>
    </row>
    <row r="384" spans="1:11" ht="18.45">
      <c r="A384" s="26">
        <v>46197</v>
      </c>
      <c r="B384" s="27" t="str">
        <f t="shared" si="26"/>
        <v>水</v>
      </c>
      <c r="C384" s="3" t="s">
        <v>453</v>
      </c>
      <c r="D384" s="3" t="s">
        <v>151</v>
      </c>
      <c r="E384" s="12">
        <v>50</v>
      </c>
      <c r="F384" s="13" t="s">
        <v>755</v>
      </c>
      <c r="G384" s="13" t="s">
        <v>756</v>
      </c>
      <c r="H384" s="14">
        <v>0</v>
      </c>
      <c r="I384" s="3" t="s">
        <v>9</v>
      </c>
      <c r="J384" s="6" t="s">
        <v>757</v>
      </c>
      <c r="K384" s="1" t="s">
        <v>800</v>
      </c>
    </row>
    <row r="385" spans="1:11" ht="18.45">
      <c r="A385" s="26">
        <v>46197</v>
      </c>
      <c r="B385" s="27" t="str">
        <f t="shared" si="26"/>
        <v>水</v>
      </c>
      <c r="C385" s="3" t="s">
        <v>382</v>
      </c>
      <c r="D385" s="3" t="s">
        <v>285</v>
      </c>
      <c r="E385" s="12">
        <v>50</v>
      </c>
      <c r="F385" s="13" t="s">
        <v>152</v>
      </c>
      <c r="G385" s="13" t="s">
        <v>632</v>
      </c>
      <c r="H385" s="14">
        <v>1000</v>
      </c>
      <c r="I385" s="3" t="s">
        <v>9</v>
      </c>
      <c r="J385" s="6" t="s">
        <v>758</v>
      </c>
      <c r="K385" s="1" t="s">
        <v>800</v>
      </c>
    </row>
    <row r="386" spans="1:11" ht="18.45">
      <c r="A386" s="26">
        <v>46197</v>
      </c>
      <c r="B386" s="27" t="str">
        <f t="shared" si="26"/>
        <v>水</v>
      </c>
      <c r="C386" s="3" t="s">
        <v>22</v>
      </c>
      <c r="D386" s="3" t="s">
        <v>24</v>
      </c>
      <c r="E386" s="12"/>
      <c r="F386" s="13" t="s">
        <v>608</v>
      </c>
      <c r="G386" s="13" t="s">
        <v>609</v>
      </c>
      <c r="H386" s="14">
        <v>0</v>
      </c>
      <c r="I386" s="3" t="s">
        <v>31</v>
      </c>
      <c r="J386" s="6" t="s">
        <v>32</v>
      </c>
      <c r="K386" s="1" t="s">
        <v>800</v>
      </c>
    </row>
    <row r="387" spans="1:11" ht="18.45">
      <c r="A387" s="26">
        <v>46198</v>
      </c>
      <c r="B387" s="27" t="str">
        <f t="shared" si="26"/>
        <v>木</v>
      </c>
      <c r="C387" s="3" t="s">
        <v>453</v>
      </c>
      <c r="D387" s="3" t="s">
        <v>29</v>
      </c>
      <c r="E387" s="12">
        <v>40</v>
      </c>
      <c r="F387" s="13" t="s">
        <v>152</v>
      </c>
      <c r="G387" s="13" t="s">
        <v>10</v>
      </c>
      <c r="H387" s="14">
        <v>3000</v>
      </c>
      <c r="I387" s="3" t="s">
        <v>11</v>
      </c>
      <c r="J387" s="7" t="s">
        <v>33</v>
      </c>
      <c r="K387" s="1" t="s">
        <v>800</v>
      </c>
    </row>
    <row r="388" spans="1:11" ht="18.45">
      <c r="A388" s="26">
        <v>46198</v>
      </c>
      <c r="B388" s="27" t="str">
        <f t="shared" si="26"/>
        <v>木</v>
      </c>
      <c r="C388" s="3" t="s">
        <v>412</v>
      </c>
      <c r="D388" s="3" t="s">
        <v>446</v>
      </c>
      <c r="E388" s="12"/>
      <c r="F388" s="13" t="s">
        <v>608</v>
      </c>
      <c r="G388" s="13" t="s">
        <v>609</v>
      </c>
      <c r="H388" s="14">
        <v>0</v>
      </c>
      <c r="I388" s="3" t="s">
        <v>31</v>
      </c>
      <c r="J388" s="7" t="s">
        <v>32</v>
      </c>
      <c r="K388" s="1" t="s">
        <v>800</v>
      </c>
    </row>
    <row r="389" spans="1:11" ht="18.45">
      <c r="A389" s="26">
        <v>46198</v>
      </c>
      <c r="B389" s="27" t="str">
        <f t="shared" si="26"/>
        <v>木</v>
      </c>
      <c r="C389" s="3" t="s">
        <v>408</v>
      </c>
      <c r="D389" s="3" t="s">
        <v>306</v>
      </c>
      <c r="E389" s="12">
        <v>200</v>
      </c>
      <c r="F389" s="13" t="s">
        <v>25</v>
      </c>
      <c r="G389" s="13" t="s">
        <v>641</v>
      </c>
      <c r="H389" s="14">
        <v>0</v>
      </c>
      <c r="I389" s="3" t="s">
        <v>9</v>
      </c>
      <c r="J389" s="7" t="s">
        <v>759</v>
      </c>
      <c r="K389" s="1" t="s">
        <v>800</v>
      </c>
    </row>
    <row r="390" spans="1:11" ht="18.45">
      <c r="A390" s="26">
        <v>46199</v>
      </c>
      <c r="B390" s="27" t="str">
        <f t="shared" si="26"/>
        <v>金</v>
      </c>
      <c r="C390" s="3" t="s">
        <v>507</v>
      </c>
      <c r="D390" s="3" t="s">
        <v>155</v>
      </c>
      <c r="E390" s="12">
        <v>40</v>
      </c>
      <c r="F390" s="13" t="s">
        <v>524</v>
      </c>
      <c r="G390" s="13" t="s">
        <v>525</v>
      </c>
      <c r="H390" s="14">
        <v>2000</v>
      </c>
      <c r="I390" s="3" t="s">
        <v>9</v>
      </c>
      <c r="J390" s="6" t="s">
        <v>720</v>
      </c>
      <c r="K390" s="1" t="s">
        <v>800</v>
      </c>
    </row>
    <row r="391" spans="1:11" ht="18.45">
      <c r="A391" s="26">
        <v>46202</v>
      </c>
      <c r="B391" s="27" t="str">
        <f t="shared" si="26"/>
        <v>月</v>
      </c>
      <c r="C391" s="3" t="s">
        <v>712</v>
      </c>
      <c r="D391" s="3" t="s">
        <v>479</v>
      </c>
      <c r="E391" s="12">
        <v>110</v>
      </c>
      <c r="F391" s="13" t="s">
        <v>760</v>
      </c>
      <c r="G391" s="13" t="s">
        <v>480</v>
      </c>
      <c r="H391" s="14">
        <v>0</v>
      </c>
      <c r="I391" s="3" t="s">
        <v>9</v>
      </c>
      <c r="J391" s="7" t="s">
        <v>761</v>
      </c>
      <c r="K391" s="1" t="s">
        <v>800</v>
      </c>
    </row>
    <row r="392" spans="1:11" ht="18.45">
      <c r="A392" s="26">
        <v>46203</v>
      </c>
      <c r="B392" s="27" t="str">
        <f t="shared" si="26"/>
        <v>火</v>
      </c>
      <c r="C392" s="3" t="s">
        <v>523</v>
      </c>
      <c r="D392" s="3" t="s">
        <v>263</v>
      </c>
      <c r="E392" s="12">
        <v>30</v>
      </c>
      <c r="F392" s="13" t="s">
        <v>524</v>
      </c>
      <c r="G392" s="13" t="s">
        <v>525</v>
      </c>
      <c r="H392" s="14">
        <v>2000</v>
      </c>
      <c r="I392" s="3" t="s">
        <v>9</v>
      </c>
      <c r="J392" s="6" t="s">
        <v>717</v>
      </c>
      <c r="K392" s="1" t="s">
        <v>800</v>
      </c>
    </row>
    <row r="393" spans="1:11" ht="18.45">
      <c r="A393" s="26">
        <v>46204</v>
      </c>
      <c r="B393" s="27" t="str">
        <f t="shared" si="26"/>
        <v>水</v>
      </c>
      <c r="C393" s="3" t="s">
        <v>630</v>
      </c>
      <c r="D393" s="3" t="s">
        <v>752</v>
      </c>
      <c r="E393" s="12">
        <v>30</v>
      </c>
      <c r="F393" s="13" t="s">
        <v>146</v>
      </c>
      <c r="G393" s="13" t="s">
        <v>147</v>
      </c>
      <c r="H393" s="14">
        <v>0</v>
      </c>
      <c r="I393" s="3" t="s">
        <v>9</v>
      </c>
      <c r="J393" s="6" t="s">
        <v>753</v>
      </c>
      <c r="K393" s="1" t="s">
        <v>800</v>
      </c>
    </row>
    <row r="394" spans="1:11" ht="18.45">
      <c r="A394" s="26">
        <v>46205</v>
      </c>
      <c r="B394" s="27" t="str">
        <f t="shared" si="26"/>
        <v>木</v>
      </c>
      <c r="C394" s="3" t="s">
        <v>336</v>
      </c>
      <c r="D394" s="3" t="s">
        <v>446</v>
      </c>
      <c r="E394" s="12">
        <v>50</v>
      </c>
      <c r="F394" s="13" t="s">
        <v>13</v>
      </c>
      <c r="G394" s="13" t="s">
        <v>14</v>
      </c>
      <c r="H394" s="14">
        <v>3000</v>
      </c>
      <c r="I394" s="3" t="s">
        <v>9</v>
      </c>
      <c r="J394" s="6" t="s">
        <v>710</v>
      </c>
      <c r="K394" s="1" t="s">
        <v>800</v>
      </c>
    </row>
    <row r="395" spans="1:11" ht="18.45">
      <c r="A395" s="26">
        <v>46205</v>
      </c>
      <c r="B395" s="27" t="str">
        <f t="shared" ref="B395" si="27">TEXT(A395,"aaa")</f>
        <v>木</v>
      </c>
      <c r="C395" s="3" t="s">
        <v>762</v>
      </c>
      <c r="D395" s="3" t="s">
        <v>763</v>
      </c>
      <c r="E395" s="12">
        <v>30</v>
      </c>
      <c r="F395" s="13" t="s">
        <v>764</v>
      </c>
      <c r="G395" s="13" t="s">
        <v>730</v>
      </c>
      <c r="H395" s="14">
        <v>0</v>
      </c>
      <c r="I395" s="3" t="s">
        <v>9</v>
      </c>
      <c r="J395" s="6" t="s">
        <v>765</v>
      </c>
      <c r="K395" s="1" t="s">
        <v>800</v>
      </c>
    </row>
    <row r="396" spans="1:11" ht="18.45">
      <c r="A396" s="26">
        <v>46206</v>
      </c>
      <c r="B396" s="27" t="str">
        <f t="shared" si="26"/>
        <v>金</v>
      </c>
      <c r="C396" s="3" t="s">
        <v>766</v>
      </c>
      <c r="D396" s="3" t="s">
        <v>24</v>
      </c>
      <c r="E396" s="12">
        <v>40</v>
      </c>
      <c r="F396" s="13" t="s">
        <v>767</v>
      </c>
      <c r="G396" s="13" t="s">
        <v>768</v>
      </c>
      <c r="H396" s="14">
        <v>0</v>
      </c>
      <c r="I396" s="3" t="s">
        <v>9</v>
      </c>
      <c r="J396" s="6" t="s">
        <v>769</v>
      </c>
      <c r="K396" s="1" t="s">
        <v>800</v>
      </c>
    </row>
    <row r="397" spans="1:11" ht="18.45">
      <c r="A397" s="26">
        <v>46208</v>
      </c>
      <c r="B397" s="27" t="str">
        <f t="shared" si="26"/>
        <v>日</v>
      </c>
      <c r="C397" s="3" t="s">
        <v>770</v>
      </c>
      <c r="D397" s="3" t="s">
        <v>428</v>
      </c>
      <c r="E397" s="12">
        <v>10</v>
      </c>
      <c r="F397" s="13" t="s">
        <v>771</v>
      </c>
      <c r="G397" s="13" t="s">
        <v>772</v>
      </c>
      <c r="H397" s="14">
        <v>3000</v>
      </c>
      <c r="I397" s="3" t="s">
        <v>9</v>
      </c>
      <c r="J397" s="6" t="s">
        <v>773</v>
      </c>
      <c r="K397" s="1" t="s">
        <v>800</v>
      </c>
    </row>
    <row r="398" spans="1:11" ht="18.45">
      <c r="A398" s="26">
        <v>46210</v>
      </c>
      <c r="B398" s="27" t="str">
        <f t="shared" si="26"/>
        <v>火</v>
      </c>
      <c r="C398" s="3" t="s">
        <v>801</v>
      </c>
      <c r="D398" s="3" t="s">
        <v>96</v>
      </c>
      <c r="E398" s="12">
        <v>10</v>
      </c>
      <c r="F398" s="13" t="s">
        <v>97</v>
      </c>
      <c r="G398" s="13" t="s">
        <v>723</v>
      </c>
      <c r="H398" s="14">
        <v>0</v>
      </c>
      <c r="I398" s="3" t="s">
        <v>9</v>
      </c>
      <c r="J398" s="6" t="s">
        <v>802</v>
      </c>
      <c r="K398" s="1" t="s">
        <v>800</v>
      </c>
    </row>
    <row r="399" spans="1:11" ht="18.45">
      <c r="A399" s="26">
        <v>46210</v>
      </c>
      <c r="B399" s="27" t="str">
        <f t="shared" si="26"/>
        <v>火</v>
      </c>
      <c r="C399" s="3" t="s">
        <v>518</v>
      </c>
      <c r="D399" s="3" t="s">
        <v>155</v>
      </c>
      <c r="E399" s="12">
        <v>65</v>
      </c>
      <c r="F399" s="13" t="s">
        <v>402</v>
      </c>
      <c r="G399" s="13"/>
      <c r="H399" s="14">
        <v>0</v>
      </c>
      <c r="I399" s="3" t="s">
        <v>9</v>
      </c>
      <c r="J399" s="6" t="s">
        <v>774</v>
      </c>
      <c r="K399" s="1" t="s">
        <v>800</v>
      </c>
    </row>
    <row r="400" spans="1:11" ht="18.45">
      <c r="A400" s="26">
        <v>46210</v>
      </c>
      <c r="B400" s="27" t="str">
        <f t="shared" ref="B400:B461" si="28">TEXT(A400,"aaa")</f>
        <v>火</v>
      </c>
      <c r="C400" s="3" t="s">
        <v>775</v>
      </c>
      <c r="D400" s="3" t="s">
        <v>155</v>
      </c>
      <c r="E400" s="12">
        <v>110</v>
      </c>
      <c r="F400" s="13" t="s">
        <v>34</v>
      </c>
      <c r="G400" s="13" t="s">
        <v>35</v>
      </c>
      <c r="H400" s="14">
        <v>0</v>
      </c>
      <c r="I400" s="3" t="s">
        <v>11</v>
      </c>
      <c r="J400" s="6" t="s">
        <v>36</v>
      </c>
      <c r="K400" s="1" t="s">
        <v>800</v>
      </c>
    </row>
    <row r="401" spans="1:11" ht="18.45">
      <c r="A401" s="26">
        <v>46211</v>
      </c>
      <c r="B401" s="27" t="str">
        <f t="shared" si="28"/>
        <v>水</v>
      </c>
      <c r="C401" s="3" t="s">
        <v>331</v>
      </c>
      <c r="D401" s="3" t="s">
        <v>745</v>
      </c>
      <c r="E401" s="12">
        <v>20</v>
      </c>
      <c r="F401" s="13" t="s">
        <v>20</v>
      </c>
      <c r="G401" s="13" t="s">
        <v>776</v>
      </c>
      <c r="H401" s="14">
        <v>3000</v>
      </c>
      <c r="I401" s="3" t="s">
        <v>9</v>
      </c>
      <c r="J401" s="6" t="s">
        <v>777</v>
      </c>
      <c r="K401" s="1" t="s">
        <v>800</v>
      </c>
    </row>
    <row r="402" spans="1:11" ht="18.45">
      <c r="A402" s="26">
        <v>46211</v>
      </c>
      <c r="B402" s="27" t="str">
        <f t="shared" ref="B402" si="29">TEXT(A402,"aaa")</f>
        <v>水</v>
      </c>
      <c r="C402" s="3" t="s">
        <v>336</v>
      </c>
      <c r="D402" s="3" t="s">
        <v>148</v>
      </c>
      <c r="E402" s="12">
        <v>30</v>
      </c>
      <c r="F402" s="13" t="s">
        <v>146</v>
      </c>
      <c r="G402" s="13" t="s">
        <v>147</v>
      </c>
      <c r="H402" s="14">
        <v>0</v>
      </c>
      <c r="I402" s="3" t="s">
        <v>9</v>
      </c>
      <c r="J402" s="6" t="s">
        <v>803</v>
      </c>
      <c r="K402" s="1" t="s">
        <v>800</v>
      </c>
    </row>
    <row r="403" spans="1:11" ht="18.45">
      <c r="A403" s="26">
        <v>46211</v>
      </c>
      <c r="B403" s="27" t="str">
        <f t="shared" si="28"/>
        <v>水</v>
      </c>
      <c r="C403" s="3" t="s">
        <v>382</v>
      </c>
      <c r="D403" s="3" t="s">
        <v>285</v>
      </c>
      <c r="E403" s="12">
        <v>50</v>
      </c>
      <c r="F403" s="13" t="s">
        <v>13</v>
      </c>
      <c r="G403" s="13" t="s">
        <v>778</v>
      </c>
      <c r="H403" s="14">
        <v>1000</v>
      </c>
      <c r="I403" s="3" t="s">
        <v>9</v>
      </c>
      <c r="J403" s="6" t="s">
        <v>779</v>
      </c>
      <c r="K403" s="1" t="s">
        <v>800</v>
      </c>
    </row>
    <row r="404" spans="1:11" ht="18.45">
      <c r="A404" s="26">
        <v>46211</v>
      </c>
      <c r="B404" s="27" t="str">
        <f t="shared" si="28"/>
        <v>水</v>
      </c>
      <c r="C404" s="3" t="s">
        <v>705</v>
      </c>
      <c r="D404" s="3" t="s">
        <v>706</v>
      </c>
      <c r="E404" s="12">
        <v>20</v>
      </c>
      <c r="F404" s="13" t="s">
        <v>13</v>
      </c>
      <c r="G404" s="13" t="s">
        <v>707</v>
      </c>
      <c r="H404" s="14">
        <v>0</v>
      </c>
      <c r="I404" s="3" t="s">
        <v>9</v>
      </c>
      <c r="J404" s="6" t="s">
        <v>780</v>
      </c>
      <c r="K404" s="1" t="s">
        <v>800</v>
      </c>
    </row>
    <row r="405" spans="1:11" ht="18.45">
      <c r="A405" s="26">
        <v>46212</v>
      </c>
      <c r="B405" s="27" t="str">
        <f t="shared" si="28"/>
        <v>木</v>
      </c>
      <c r="C405" s="3" t="s">
        <v>630</v>
      </c>
      <c r="D405" s="3" t="s">
        <v>446</v>
      </c>
      <c r="E405" s="12">
        <v>50</v>
      </c>
      <c r="F405" s="13" t="s">
        <v>447</v>
      </c>
      <c r="G405" s="13" t="s">
        <v>48</v>
      </c>
      <c r="H405" s="14">
        <v>3000</v>
      </c>
      <c r="I405" s="3" t="s">
        <v>9</v>
      </c>
      <c r="J405" s="6" t="s">
        <v>781</v>
      </c>
      <c r="K405" s="1" t="s">
        <v>800</v>
      </c>
    </row>
    <row r="406" spans="1:11" ht="18.45">
      <c r="A406" s="26">
        <v>46212</v>
      </c>
      <c r="B406" s="27" t="str">
        <f t="shared" ref="B406" si="30">TEXT(A406,"aaa")</f>
        <v>木</v>
      </c>
      <c r="C406" s="3" t="s">
        <v>523</v>
      </c>
      <c r="D406" s="3" t="s">
        <v>514</v>
      </c>
      <c r="E406" s="12">
        <v>50</v>
      </c>
      <c r="F406" s="13" t="s">
        <v>26</v>
      </c>
      <c r="G406" s="13" t="s">
        <v>105</v>
      </c>
      <c r="H406" s="14">
        <v>0</v>
      </c>
      <c r="I406" s="3" t="s">
        <v>9</v>
      </c>
      <c r="J406" s="6" t="s">
        <v>804</v>
      </c>
      <c r="K406" s="1" t="s">
        <v>800</v>
      </c>
    </row>
    <row r="407" spans="1:11" ht="18.45">
      <c r="A407" s="26">
        <v>46212</v>
      </c>
      <c r="B407" s="27" t="str">
        <f t="shared" si="28"/>
        <v>木</v>
      </c>
      <c r="C407" s="3" t="s">
        <v>412</v>
      </c>
      <c r="D407" s="3" t="s">
        <v>718</v>
      </c>
      <c r="E407" s="12"/>
      <c r="F407" s="13" t="s">
        <v>608</v>
      </c>
      <c r="G407" s="13" t="s">
        <v>609</v>
      </c>
      <c r="H407" s="14">
        <v>0</v>
      </c>
      <c r="I407" s="3" t="s">
        <v>31</v>
      </c>
      <c r="J407" s="6" t="s">
        <v>32</v>
      </c>
      <c r="K407" s="1" t="s">
        <v>800</v>
      </c>
    </row>
    <row r="408" spans="1:11" ht="18.45">
      <c r="A408" s="26">
        <v>46213</v>
      </c>
      <c r="B408" s="27" t="str">
        <f t="shared" si="28"/>
        <v>金</v>
      </c>
      <c r="C408" s="3" t="s">
        <v>782</v>
      </c>
      <c r="D408" s="3" t="s">
        <v>24</v>
      </c>
      <c r="E408" s="12">
        <v>60</v>
      </c>
      <c r="F408" s="13" t="s">
        <v>13</v>
      </c>
      <c r="G408" s="13" t="s">
        <v>783</v>
      </c>
      <c r="H408" s="14">
        <v>0</v>
      </c>
      <c r="I408" s="3" t="s">
        <v>9</v>
      </c>
      <c r="J408" s="6" t="s">
        <v>784</v>
      </c>
      <c r="K408" s="1" t="s">
        <v>800</v>
      </c>
    </row>
    <row r="409" spans="1:11" ht="18.45">
      <c r="A409" s="26">
        <v>46213</v>
      </c>
      <c r="B409" s="27" t="str">
        <f t="shared" ref="B409" si="31">TEXT(A409,"aaa")</f>
        <v>金</v>
      </c>
      <c r="C409" s="3" t="s">
        <v>391</v>
      </c>
      <c r="D409" s="3" t="s">
        <v>24</v>
      </c>
      <c r="E409" s="12">
        <v>30</v>
      </c>
      <c r="F409" s="13" t="s">
        <v>805</v>
      </c>
      <c r="G409" s="13" t="s">
        <v>806</v>
      </c>
      <c r="H409" s="14">
        <v>2000</v>
      </c>
      <c r="I409" s="3" t="s">
        <v>9</v>
      </c>
      <c r="J409" s="6" t="s">
        <v>807</v>
      </c>
      <c r="K409" s="1" t="s">
        <v>800</v>
      </c>
    </row>
    <row r="410" spans="1:11" ht="18.45">
      <c r="A410" s="26">
        <v>46216</v>
      </c>
      <c r="B410" s="27" t="str">
        <f t="shared" si="28"/>
        <v>月</v>
      </c>
      <c r="C410" s="3" t="s">
        <v>785</v>
      </c>
      <c r="D410" s="3" t="s">
        <v>155</v>
      </c>
      <c r="E410" s="12">
        <v>120</v>
      </c>
      <c r="F410" s="13" t="s">
        <v>34</v>
      </c>
      <c r="G410" s="13"/>
      <c r="H410" s="14">
        <v>2000</v>
      </c>
      <c r="I410" s="3" t="s">
        <v>9</v>
      </c>
      <c r="J410" s="6" t="s">
        <v>786</v>
      </c>
      <c r="K410" s="1" t="s">
        <v>800</v>
      </c>
    </row>
    <row r="411" spans="1:11" ht="18.45">
      <c r="A411" s="26">
        <v>46216</v>
      </c>
      <c r="B411" s="27" t="str">
        <f t="shared" ref="B411" si="32">TEXT(A411,"aaa")</f>
        <v>月</v>
      </c>
      <c r="C411" s="3" t="s">
        <v>610</v>
      </c>
      <c r="D411" s="3" t="s">
        <v>479</v>
      </c>
      <c r="E411" s="12">
        <v>60</v>
      </c>
      <c r="F411" s="13" t="s">
        <v>611</v>
      </c>
      <c r="G411" s="13" t="s">
        <v>480</v>
      </c>
      <c r="H411" s="14">
        <v>0</v>
      </c>
      <c r="I411" s="3" t="s">
        <v>9</v>
      </c>
      <c r="J411" s="6" t="s">
        <v>808</v>
      </c>
      <c r="K411" s="1" t="s">
        <v>800</v>
      </c>
    </row>
    <row r="412" spans="1:11" ht="18.45">
      <c r="A412" s="26">
        <v>46216</v>
      </c>
      <c r="B412" s="27" t="str">
        <f t="shared" si="28"/>
        <v>月</v>
      </c>
      <c r="C412" s="3" t="s">
        <v>787</v>
      </c>
      <c r="D412" s="3" t="s">
        <v>24</v>
      </c>
      <c r="E412" s="12">
        <v>85</v>
      </c>
      <c r="F412" s="13" t="s">
        <v>34</v>
      </c>
      <c r="G412" s="13" t="s">
        <v>35</v>
      </c>
      <c r="H412" s="14">
        <v>0</v>
      </c>
      <c r="I412" s="3" t="s">
        <v>11</v>
      </c>
      <c r="J412" s="6" t="s">
        <v>36</v>
      </c>
      <c r="K412" s="1" t="s">
        <v>800</v>
      </c>
    </row>
    <row r="413" spans="1:11" ht="18.45">
      <c r="A413" s="26">
        <v>46216</v>
      </c>
      <c r="B413" s="27" t="str">
        <f t="shared" si="28"/>
        <v>月</v>
      </c>
      <c r="C413" s="3" t="s">
        <v>412</v>
      </c>
      <c r="D413" s="3" t="s">
        <v>354</v>
      </c>
      <c r="E413" s="12"/>
      <c r="F413" s="13" t="s">
        <v>608</v>
      </c>
      <c r="G413" s="13" t="s">
        <v>609</v>
      </c>
      <c r="H413" s="14">
        <v>0</v>
      </c>
      <c r="I413" s="3" t="s">
        <v>31</v>
      </c>
      <c r="J413" s="6" t="s">
        <v>32</v>
      </c>
      <c r="K413" s="1" t="s">
        <v>800</v>
      </c>
    </row>
    <row r="414" spans="1:11" ht="18.45">
      <c r="A414" s="26">
        <v>46217</v>
      </c>
      <c r="B414" s="27" t="str">
        <f t="shared" si="28"/>
        <v>火</v>
      </c>
      <c r="C414" s="3" t="s">
        <v>787</v>
      </c>
      <c r="D414" s="3" t="s">
        <v>426</v>
      </c>
      <c r="E414" s="12">
        <v>36</v>
      </c>
      <c r="F414" s="13" t="s">
        <v>34</v>
      </c>
      <c r="G414" s="13" t="s">
        <v>35</v>
      </c>
      <c r="H414" s="14">
        <v>0</v>
      </c>
      <c r="I414" s="3" t="s">
        <v>11</v>
      </c>
      <c r="J414" s="6" t="s">
        <v>36</v>
      </c>
      <c r="K414" s="1" t="s">
        <v>800</v>
      </c>
    </row>
    <row r="415" spans="1:11" ht="18.45">
      <c r="A415" s="26">
        <v>46217</v>
      </c>
      <c r="B415" s="27" t="str">
        <f t="shared" si="28"/>
        <v>火</v>
      </c>
      <c r="C415" s="3" t="s">
        <v>379</v>
      </c>
      <c r="D415" s="3" t="s">
        <v>151</v>
      </c>
      <c r="E415" s="12">
        <v>200</v>
      </c>
      <c r="F415" s="13" t="s">
        <v>13</v>
      </c>
      <c r="G415" s="13" t="s">
        <v>380</v>
      </c>
      <c r="H415" s="14">
        <v>0</v>
      </c>
      <c r="I415" s="3" t="s">
        <v>9</v>
      </c>
      <c r="J415" s="6" t="s">
        <v>788</v>
      </c>
      <c r="K415" s="1" t="s">
        <v>800</v>
      </c>
    </row>
    <row r="416" spans="1:11" ht="18.45">
      <c r="A416" s="26">
        <v>46218</v>
      </c>
      <c r="B416" s="27" t="str">
        <f t="shared" si="28"/>
        <v>水</v>
      </c>
      <c r="C416" s="3" t="s">
        <v>336</v>
      </c>
      <c r="D416" s="3" t="s">
        <v>151</v>
      </c>
      <c r="E416" s="12">
        <v>50</v>
      </c>
      <c r="F416" s="13" t="s">
        <v>15</v>
      </c>
      <c r="G416" s="13" t="s">
        <v>64</v>
      </c>
      <c r="H416" s="14">
        <v>3000</v>
      </c>
      <c r="I416" s="3" t="s">
        <v>9</v>
      </c>
      <c r="J416" s="6" t="s">
        <v>789</v>
      </c>
      <c r="K416" s="1" t="s">
        <v>800</v>
      </c>
    </row>
    <row r="417" spans="1:11" ht="18.45">
      <c r="A417" s="26">
        <v>46218</v>
      </c>
      <c r="B417" s="27" t="str">
        <f t="shared" si="28"/>
        <v>水</v>
      </c>
      <c r="C417" s="3" t="s">
        <v>705</v>
      </c>
      <c r="D417" s="3" t="s">
        <v>706</v>
      </c>
      <c r="E417" s="12">
        <v>20</v>
      </c>
      <c r="F417" s="13" t="s">
        <v>13</v>
      </c>
      <c r="G417" s="13" t="s">
        <v>707</v>
      </c>
      <c r="H417" s="14">
        <v>2000</v>
      </c>
      <c r="I417" s="3" t="s">
        <v>9</v>
      </c>
      <c r="J417" s="6" t="s">
        <v>790</v>
      </c>
      <c r="K417" s="1" t="s">
        <v>800</v>
      </c>
    </row>
    <row r="418" spans="1:11" ht="18.45">
      <c r="A418" s="26">
        <v>46219</v>
      </c>
      <c r="B418" s="27" t="str">
        <f t="shared" ref="B418" si="33">TEXT(A418,"aaa")</f>
        <v>木</v>
      </c>
      <c r="C418" s="3" t="s">
        <v>331</v>
      </c>
      <c r="D418" s="3" t="s">
        <v>809</v>
      </c>
      <c r="E418" s="12">
        <v>80</v>
      </c>
      <c r="F418" s="13" t="s">
        <v>810</v>
      </c>
      <c r="G418" s="13" t="s">
        <v>297</v>
      </c>
      <c r="H418" s="14">
        <v>0</v>
      </c>
      <c r="I418" s="3" t="s">
        <v>9</v>
      </c>
      <c r="J418" s="6" t="s">
        <v>811</v>
      </c>
      <c r="K418" s="1" t="s">
        <v>800</v>
      </c>
    </row>
    <row r="419" spans="1:11" ht="18.45">
      <c r="A419" s="26">
        <v>46219</v>
      </c>
      <c r="B419" s="27" t="str">
        <f t="shared" si="28"/>
        <v>木</v>
      </c>
      <c r="C419" s="3" t="s">
        <v>627</v>
      </c>
      <c r="D419" s="3" t="s">
        <v>748</v>
      </c>
      <c r="E419" s="12">
        <v>70</v>
      </c>
      <c r="F419" s="13" t="s">
        <v>447</v>
      </c>
      <c r="G419" s="13" t="s">
        <v>48</v>
      </c>
      <c r="H419" s="14">
        <v>3000</v>
      </c>
      <c r="I419" s="3" t="s">
        <v>9</v>
      </c>
      <c r="J419" s="6" t="s">
        <v>791</v>
      </c>
      <c r="K419" s="1" t="s">
        <v>800</v>
      </c>
    </row>
    <row r="420" spans="1:11" ht="18.45">
      <c r="A420" s="26">
        <v>46219</v>
      </c>
      <c r="B420" s="27" t="str">
        <f t="shared" si="28"/>
        <v>木</v>
      </c>
      <c r="C420" s="3" t="s">
        <v>453</v>
      </c>
      <c r="D420" s="3" t="s">
        <v>24</v>
      </c>
      <c r="E420" s="12">
        <v>38</v>
      </c>
      <c r="F420" s="13" t="s">
        <v>152</v>
      </c>
      <c r="G420" s="13" t="s">
        <v>10</v>
      </c>
      <c r="H420" s="14">
        <v>3000</v>
      </c>
      <c r="I420" s="3" t="s">
        <v>11</v>
      </c>
      <c r="J420" s="6" t="s">
        <v>33</v>
      </c>
      <c r="K420" s="1" t="s">
        <v>800</v>
      </c>
    </row>
    <row r="421" spans="1:11" ht="18.45">
      <c r="A421" s="26">
        <v>46219</v>
      </c>
      <c r="B421" s="27" t="str">
        <f t="shared" ref="B421" si="34">TEXT(A421,"aaa")</f>
        <v>木</v>
      </c>
      <c r="C421" s="3" t="s">
        <v>396</v>
      </c>
      <c r="D421" s="3" t="s">
        <v>812</v>
      </c>
      <c r="E421" s="12">
        <v>80</v>
      </c>
      <c r="F421" s="3" t="s">
        <v>813</v>
      </c>
      <c r="G421" s="13" t="s">
        <v>814</v>
      </c>
      <c r="H421" s="14">
        <v>0</v>
      </c>
      <c r="I421" s="3" t="s">
        <v>9</v>
      </c>
      <c r="J421" s="6" t="s">
        <v>815</v>
      </c>
      <c r="K421" s="1" t="s">
        <v>800</v>
      </c>
    </row>
    <row r="422" spans="1:11" ht="18.45">
      <c r="A422" s="26">
        <v>46220</v>
      </c>
      <c r="B422" s="27" t="str">
        <f t="shared" si="28"/>
        <v>金</v>
      </c>
      <c r="C422" s="3" t="s">
        <v>336</v>
      </c>
      <c r="D422" s="3" t="s">
        <v>446</v>
      </c>
      <c r="E422" s="12">
        <v>50</v>
      </c>
      <c r="F422" s="13" t="s">
        <v>13</v>
      </c>
      <c r="G422" s="13" t="s">
        <v>14</v>
      </c>
      <c r="H422" s="14">
        <v>3000</v>
      </c>
      <c r="I422" s="3" t="s">
        <v>9</v>
      </c>
      <c r="J422" s="6" t="s">
        <v>710</v>
      </c>
      <c r="K422" s="1" t="s">
        <v>800</v>
      </c>
    </row>
    <row r="423" spans="1:11" ht="18.45">
      <c r="A423" s="26">
        <v>46224</v>
      </c>
      <c r="B423" s="27" t="str">
        <f t="shared" si="28"/>
        <v>火</v>
      </c>
      <c r="C423" s="3" t="s">
        <v>351</v>
      </c>
      <c r="D423" s="3" t="s">
        <v>24</v>
      </c>
      <c r="E423" s="12">
        <v>6</v>
      </c>
      <c r="F423" s="13" t="s">
        <v>97</v>
      </c>
      <c r="G423" s="13" t="s">
        <v>792</v>
      </c>
      <c r="H423" s="14">
        <v>1000</v>
      </c>
      <c r="I423" s="3" t="s">
        <v>9</v>
      </c>
      <c r="J423" s="6" t="s">
        <v>793</v>
      </c>
      <c r="K423" s="1" t="s">
        <v>800</v>
      </c>
    </row>
    <row r="424" spans="1:11" ht="18.45">
      <c r="A424" s="26">
        <v>46224</v>
      </c>
      <c r="B424" s="27" t="str">
        <f t="shared" ref="B424:B428" si="35">TEXT(A424,"aaa")</f>
        <v>火</v>
      </c>
      <c r="C424" s="3" t="s">
        <v>336</v>
      </c>
      <c r="D424" s="3" t="s">
        <v>446</v>
      </c>
      <c r="E424" s="12">
        <v>45</v>
      </c>
      <c r="F424" s="13" t="s">
        <v>816</v>
      </c>
      <c r="G424" s="13" t="s">
        <v>817</v>
      </c>
      <c r="H424" s="14">
        <v>3000</v>
      </c>
      <c r="I424" s="3" t="s">
        <v>9</v>
      </c>
      <c r="J424" s="6" t="s">
        <v>818</v>
      </c>
      <c r="K424" s="1" t="s">
        <v>800</v>
      </c>
    </row>
    <row r="425" spans="1:11" ht="18.45">
      <c r="A425" s="26">
        <v>46224</v>
      </c>
      <c r="B425" s="27" t="str">
        <f t="shared" si="35"/>
        <v>火</v>
      </c>
      <c r="C425" s="3" t="s">
        <v>819</v>
      </c>
      <c r="D425" s="3" t="s">
        <v>155</v>
      </c>
      <c r="E425" s="12">
        <v>20</v>
      </c>
      <c r="F425" s="13" t="s">
        <v>702</v>
      </c>
      <c r="G425" s="13" t="s">
        <v>703</v>
      </c>
      <c r="H425" s="14">
        <v>2200</v>
      </c>
      <c r="I425" s="3" t="s">
        <v>9</v>
      </c>
      <c r="J425" s="6" t="s">
        <v>820</v>
      </c>
      <c r="K425" s="1" t="s">
        <v>800</v>
      </c>
    </row>
    <row r="426" spans="1:11" ht="18.45">
      <c r="A426" s="26">
        <v>46224</v>
      </c>
      <c r="B426" s="27" t="str">
        <f t="shared" si="35"/>
        <v>火</v>
      </c>
      <c r="C426" s="3" t="s">
        <v>821</v>
      </c>
      <c r="D426" s="3" t="s">
        <v>822</v>
      </c>
      <c r="E426" s="12">
        <v>20</v>
      </c>
      <c r="F426" s="13" t="s">
        <v>13</v>
      </c>
      <c r="G426" s="13" t="s">
        <v>823</v>
      </c>
      <c r="H426" s="14">
        <v>0</v>
      </c>
      <c r="I426" s="3" t="s">
        <v>9</v>
      </c>
      <c r="J426" s="6" t="s">
        <v>824</v>
      </c>
      <c r="K426" s="1" t="s">
        <v>800</v>
      </c>
    </row>
    <row r="427" spans="1:11" ht="18.45">
      <c r="A427" s="26">
        <v>46225</v>
      </c>
      <c r="B427" s="27" t="str">
        <f t="shared" si="35"/>
        <v>水</v>
      </c>
      <c r="C427" s="3" t="s">
        <v>422</v>
      </c>
      <c r="D427" s="3" t="s">
        <v>24</v>
      </c>
      <c r="E427" s="12">
        <v>40</v>
      </c>
      <c r="F427" s="13" t="s">
        <v>825</v>
      </c>
      <c r="G427" s="13" t="s">
        <v>826</v>
      </c>
      <c r="H427" s="14">
        <v>0</v>
      </c>
      <c r="I427" s="3" t="s">
        <v>9</v>
      </c>
      <c r="J427" s="6" t="s">
        <v>827</v>
      </c>
      <c r="K427" s="1" t="s">
        <v>800</v>
      </c>
    </row>
    <row r="428" spans="1:11" ht="18.45">
      <c r="A428" s="26">
        <v>46225</v>
      </c>
      <c r="B428" s="27" t="str">
        <f t="shared" si="35"/>
        <v>水</v>
      </c>
      <c r="C428" s="3" t="s">
        <v>336</v>
      </c>
      <c r="D428" s="3" t="s">
        <v>148</v>
      </c>
      <c r="E428" s="12">
        <v>30</v>
      </c>
      <c r="F428" s="13" t="s">
        <v>146</v>
      </c>
      <c r="G428" s="13" t="s">
        <v>147</v>
      </c>
      <c r="H428" s="14">
        <v>0</v>
      </c>
      <c r="I428" s="3" t="s">
        <v>9</v>
      </c>
      <c r="J428" s="6" t="s">
        <v>828</v>
      </c>
      <c r="K428" s="1" t="s">
        <v>800</v>
      </c>
    </row>
    <row r="429" spans="1:11" ht="18.45">
      <c r="A429" s="26">
        <v>46225</v>
      </c>
      <c r="B429" s="27" t="str">
        <f t="shared" si="28"/>
        <v>水</v>
      </c>
      <c r="C429" s="3" t="s">
        <v>676</v>
      </c>
      <c r="D429" s="3" t="s">
        <v>151</v>
      </c>
      <c r="E429" s="12">
        <v>100</v>
      </c>
      <c r="F429" s="13" t="s">
        <v>58</v>
      </c>
      <c r="G429" s="13" t="s">
        <v>430</v>
      </c>
      <c r="H429" s="14">
        <v>5500</v>
      </c>
      <c r="I429" s="3" t="s">
        <v>9</v>
      </c>
      <c r="J429" s="6" t="s">
        <v>794</v>
      </c>
      <c r="K429" s="1" t="s">
        <v>800</v>
      </c>
    </row>
    <row r="430" spans="1:11" ht="18.45">
      <c r="A430" s="26">
        <v>46225</v>
      </c>
      <c r="B430" s="27" t="str">
        <f t="shared" ref="B430:B432" si="36">TEXT(A430,"aaa")</f>
        <v>水</v>
      </c>
      <c r="C430" s="3" t="s">
        <v>523</v>
      </c>
      <c r="D430" s="3" t="s">
        <v>87</v>
      </c>
      <c r="E430" s="12">
        <v>30</v>
      </c>
      <c r="F430" s="13" t="s">
        <v>662</v>
      </c>
      <c r="G430" s="13" t="s">
        <v>105</v>
      </c>
      <c r="H430" s="14">
        <v>0</v>
      </c>
      <c r="I430" s="3" t="s">
        <v>9</v>
      </c>
      <c r="J430" s="6" t="s">
        <v>829</v>
      </c>
      <c r="K430" s="1" t="s">
        <v>800</v>
      </c>
    </row>
    <row r="431" spans="1:11" ht="18.45">
      <c r="A431" s="26">
        <v>46225</v>
      </c>
      <c r="B431" s="27" t="str">
        <f t="shared" si="36"/>
        <v>水</v>
      </c>
      <c r="C431" s="3" t="s">
        <v>435</v>
      </c>
      <c r="D431" s="3" t="s">
        <v>24</v>
      </c>
      <c r="E431" s="12">
        <v>30</v>
      </c>
      <c r="F431" s="13" t="s">
        <v>634</v>
      </c>
      <c r="G431" s="13" t="s">
        <v>831</v>
      </c>
      <c r="H431" s="14">
        <v>3000</v>
      </c>
      <c r="I431" s="3" t="s">
        <v>11</v>
      </c>
      <c r="J431" s="6" t="s">
        <v>830</v>
      </c>
      <c r="K431" s="1" t="s">
        <v>800</v>
      </c>
    </row>
    <row r="432" spans="1:11" ht="18.45">
      <c r="A432" s="26">
        <v>46226</v>
      </c>
      <c r="B432" s="27" t="str">
        <f t="shared" si="36"/>
        <v>木</v>
      </c>
      <c r="C432" s="3" t="s">
        <v>630</v>
      </c>
      <c r="D432" s="3" t="s">
        <v>558</v>
      </c>
      <c r="E432" s="12">
        <v>30</v>
      </c>
      <c r="F432" s="13" t="s">
        <v>447</v>
      </c>
      <c r="G432" s="13" t="s">
        <v>48</v>
      </c>
      <c r="H432" s="52">
        <v>2000</v>
      </c>
      <c r="I432" s="3" t="s">
        <v>11</v>
      </c>
      <c r="J432" s="6" t="s">
        <v>832</v>
      </c>
      <c r="K432" s="1" t="s">
        <v>800</v>
      </c>
    </row>
    <row r="433" spans="1:11" ht="18.45">
      <c r="A433" s="26">
        <v>46226</v>
      </c>
      <c r="B433" s="27" t="str">
        <f t="shared" ref="B433" si="37">TEXT(A433,"aaa")</f>
        <v>木</v>
      </c>
      <c r="C433" s="3" t="s">
        <v>408</v>
      </c>
      <c r="D433" s="3" t="s">
        <v>306</v>
      </c>
      <c r="E433" s="12">
        <v>200</v>
      </c>
      <c r="F433" s="13" t="s">
        <v>845</v>
      </c>
      <c r="G433" s="13" t="s">
        <v>846</v>
      </c>
      <c r="H433" s="14">
        <v>0</v>
      </c>
      <c r="I433" s="3" t="s">
        <v>9</v>
      </c>
      <c r="J433" s="6" t="s">
        <v>833</v>
      </c>
      <c r="K433" s="1" t="s">
        <v>800</v>
      </c>
    </row>
    <row r="434" spans="1:11" ht="18.45">
      <c r="A434" s="26">
        <v>46227</v>
      </c>
      <c r="B434" s="27" t="str">
        <f t="shared" si="28"/>
        <v>金</v>
      </c>
      <c r="C434" s="3" t="s">
        <v>336</v>
      </c>
      <c r="D434" s="3" t="s">
        <v>24</v>
      </c>
      <c r="E434" s="12">
        <v>50</v>
      </c>
      <c r="F434" s="13" t="s">
        <v>377</v>
      </c>
      <c r="G434" s="13" t="s">
        <v>14</v>
      </c>
      <c r="H434" s="14">
        <v>3000</v>
      </c>
      <c r="I434" s="3" t="s">
        <v>11</v>
      </c>
      <c r="J434" s="6" t="s">
        <v>687</v>
      </c>
      <c r="K434" s="1" t="s">
        <v>800</v>
      </c>
    </row>
    <row r="435" spans="1:11" ht="18.45">
      <c r="A435" s="26">
        <v>46230</v>
      </c>
      <c r="B435" s="27" t="str">
        <f t="shared" ref="B435" si="38">TEXT(A435,"aaa")</f>
        <v>月</v>
      </c>
      <c r="C435" s="3" t="s">
        <v>225</v>
      </c>
      <c r="D435" s="3" t="s">
        <v>38</v>
      </c>
      <c r="E435" s="12">
        <v>60</v>
      </c>
      <c r="F435" s="13" t="s">
        <v>13</v>
      </c>
      <c r="G435" s="13" t="s">
        <v>834</v>
      </c>
      <c r="H435" s="14">
        <v>0</v>
      </c>
      <c r="I435" s="3" t="s">
        <v>9</v>
      </c>
      <c r="J435" s="6" t="s">
        <v>847</v>
      </c>
      <c r="K435" s="1" t="s">
        <v>800</v>
      </c>
    </row>
    <row r="436" spans="1:11" ht="18.45">
      <c r="A436" s="26">
        <v>46230</v>
      </c>
      <c r="B436" s="27" t="str">
        <f t="shared" si="28"/>
        <v>月</v>
      </c>
      <c r="C436" s="3" t="s">
        <v>705</v>
      </c>
      <c r="D436" s="3" t="s">
        <v>706</v>
      </c>
      <c r="E436" s="12">
        <v>20</v>
      </c>
      <c r="F436" s="13" t="s">
        <v>13</v>
      </c>
      <c r="G436" s="13" t="s">
        <v>707</v>
      </c>
      <c r="H436" s="14">
        <v>0</v>
      </c>
      <c r="I436" s="3" t="s">
        <v>9</v>
      </c>
      <c r="J436" s="6" t="s">
        <v>795</v>
      </c>
      <c r="K436" s="1" t="s">
        <v>800</v>
      </c>
    </row>
    <row r="437" spans="1:11" ht="18.45">
      <c r="A437" s="26">
        <v>46231</v>
      </c>
      <c r="B437" s="27" t="str">
        <f t="shared" ref="B437" si="39">TEXT(A437,"aaa")</f>
        <v>火</v>
      </c>
      <c r="C437" s="3" t="s">
        <v>336</v>
      </c>
      <c r="D437" s="3" t="s">
        <v>446</v>
      </c>
      <c r="E437" s="12">
        <v>50</v>
      </c>
      <c r="F437" s="13" t="s">
        <v>13</v>
      </c>
      <c r="G437" s="13" t="s">
        <v>14</v>
      </c>
      <c r="H437" s="14">
        <v>3000</v>
      </c>
      <c r="I437" s="3" t="s">
        <v>9</v>
      </c>
      <c r="J437" s="6" t="s">
        <v>710</v>
      </c>
      <c r="K437" s="1" t="s">
        <v>800</v>
      </c>
    </row>
    <row r="438" spans="1:11" ht="18.45">
      <c r="A438" s="26">
        <v>46231</v>
      </c>
      <c r="B438" s="27" t="str">
        <f t="shared" si="28"/>
        <v>火</v>
      </c>
      <c r="C438" s="3" t="s">
        <v>453</v>
      </c>
      <c r="D438" s="3" t="s">
        <v>29</v>
      </c>
      <c r="E438" s="12">
        <v>40</v>
      </c>
      <c r="F438" s="13" t="s">
        <v>152</v>
      </c>
      <c r="G438" s="13" t="s">
        <v>10</v>
      </c>
      <c r="H438" s="14">
        <v>3000</v>
      </c>
      <c r="I438" s="3" t="s">
        <v>11</v>
      </c>
      <c r="J438" s="6" t="s">
        <v>33</v>
      </c>
      <c r="K438" s="1" t="s">
        <v>800</v>
      </c>
    </row>
    <row r="439" spans="1:11" ht="18.45">
      <c r="A439" s="26">
        <v>46231</v>
      </c>
      <c r="B439" s="27" t="str">
        <f t="shared" ref="B439:B440" si="40">TEXT(A439,"aaa")</f>
        <v>火</v>
      </c>
      <c r="C439" s="3" t="s">
        <v>379</v>
      </c>
      <c r="D439" s="3" t="s">
        <v>151</v>
      </c>
      <c r="E439" s="12">
        <v>200</v>
      </c>
      <c r="F439" s="13" t="s">
        <v>394</v>
      </c>
      <c r="G439" s="13" t="s">
        <v>105</v>
      </c>
      <c r="H439" s="14">
        <v>0</v>
      </c>
      <c r="I439" s="3" t="s">
        <v>9</v>
      </c>
      <c r="J439" s="6" t="s">
        <v>835</v>
      </c>
      <c r="K439" s="1" t="s">
        <v>800</v>
      </c>
    </row>
    <row r="440" spans="1:11" ht="18.45">
      <c r="A440" s="26">
        <v>46232</v>
      </c>
      <c r="B440" s="27" t="str">
        <f t="shared" si="40"/>
        <v>水</v>
      </c>
      <c r="C440" s="3" t="s">
        <v>551</v>
      </c>
      <c r="D440" s="3" t="s">
        <v>354</v>
      </c>
      <c r="E440" s="12">
        <v>20</v>
      </c>
      <c r="F440" s="13" t="s">
        <v>13</v>
      </c>
      <c r="G440" s="13" t="s">
        <v>554</v>
      </c>
      <c r="H440" s="14">
        <v>2000</v>
      </c>
      <c r="I440" s="3" t="s">
        <v>9</v>
      </c>
      <c r="J440" s="6" t="s">
        <v>836</v>
      </c>
      <c r="K440" s="1" t="s">
        <v>800</v>
      </c>
    </row>
    <row r="441" spans="1:11" ht="18.45">
      <c r="A441" s="26">
        <v>46232</v>
      </c>
      <c r="B441" s="27" t="str">
        <f t="shared" si="28"/>
        <v>水</v>
      </c>
      <c r="C441" s="3" t="s">
        <v>351</v>
      </c>
      <c r="D441" s="3" t="s">
        <v>155</v>
      </c>
      <c r="E441" s="12">
        <v>30</v>
      </c>
      <c r="F441" s="13" t="s">
        <v>20</v>
      </c>
      <c r="G441" s="13" t="s">
        <v>156</v>
      </c>
      <c r="H441" s="14">
        <v>3000</v>
      </c>
      <c r="I441" s="3" t="s">
        <v>11</v>
      </c>
      <c r="J441" s="6" t="s">
        <v>796</v>
      </c>
      <c r="K441" s="1" t="s">
        <v>800</v>
      </c>
    </row>
    <row r="442" spans="1:11" ht="18.45">
      <c r="A442" s="26">
        <v>46232</v>
      </c>
      <c r="B442" s="27" t="str">
        <f t="shared" si="28"/>
        <v>水</v>
      </c>
      <c r="C442" s="3" t="s">
        <v>331</v>
      </c>
      <c r="D442" s="3" t="s">
        <v>745</v>
      </c>
      <c r="E442" s="12">
        <v>20</v>
      </c>
      <c r="F442" s="13" t="s">
        <v>20</v>
      </c>
      <c r="G442" s="13" t="s">
        <v>746</v>
      </c>
      <c r="H442" s="14">
        <v>3000</v>
      </c>
      <c r="I442" s="3" t="s">
        <v>9</v>
      </c>
      <c r="J442" s="6" t="s">
        <v>797</v>
      </c>
      <c r="K442" s="1" t="s">
        <v>800</v>
      </c>
    </row>
    <row r="443" spans="1:11" ht="18.45">
      <c r="A443" s="26">
        <v>46238</v>
      </c>
      <c r="B443" s="27" t="str">
        <f t="shared" si="28"/>
        <v>火</v>
      </c>
      <c r="C443" s="3" t="s">
        <v>705</v>
      </c>
      <c r="D443" s="3" t="s">
        <v>706</v>
      </c>
      <c r="E443" s="12">
        <v>20</v>
      </c>
      <c r="F443" s="13" t="s">
        <v>13</v>
      </c>
      <c r="G443" s="13" t="s">
        <v>707</v>
      </c>
      <c r="H443" s="14">
        <v>0</v>
      </c>
      <c r="I443" s="3" t="s">
        <v>9</v>
      </c>
      <c r="J443" s="6" t="s">
        <v>837</v>
      </c>
      <c r="K443" s="1" t="s">
        <v>800</v>
      </c>
    </row>
    <row r="444" spans="1:11" ht="18.45">
      <c r="A444" s="26">
        <v>46240</v>
      </c>
      <c r="B444" s="27" t="str">
        <f t="shared" si="28"/>
        <v>木</v>
      </c>
      <c r="C444" s="3" t="s">
        <v>453</v>
      </c>
      <c r="D444" s="3" t="s">
        <v>87</v>
      </c>
      <c r="E444" s="12">
        <v>40</v>
      </c>
      <c r="F444" s="13" t="s">
        <v>152</v>
      </c>
      <c r="G444" s="13" t="s">
        <v>10</v>
      </c>
      <c r="H444" s="14">
        <v>3000</v>
      </c>
      <c r="I444" s="3" t="s">
        <v>11</v>
      </c>
      <c r="J444" s="6" t="s">
        <v>33</v>
      </c>
      <c r="K444" s="1" t="s">
        <v>800</v>
      </c>
    </row>
    <row r="445" spans="1:11" ht="18.45">
      <c r="A445" s="26">
        <v>46247</v>
      </c>
      <c r="B445" s="27" t="str">
        <f t="shared" si="28"/>
        <v>木</v>
      </c>
      <c r="C445" s="3" t="s">
        <v>705</v>
      </c>
      <c r="D445" s="3" t="s">
        <v>706</v>
      </c>
      <c r="E445" s="12">
        <v>20</v>
      </c>
      <c r="F445" s="13" t="s">
        <v>13</v>
      </c>
      <c r="G445" s="13" t="s">
        <v>707</v>
      </c>
      <c r="H445" s="14">
        <v>0</v>
      </c>
      <c r="I445" s="3" t="s">
        <v>9</v>
      </c>
      <c r="J445" s="6" t="s">
        <v>838</v>
      </c>
      <c r="K445" s="1" t="s">
        <v>800</v>
      </c>
    </row>
    <row r="446" spans="1:11" ht="18.45">
      <c r="A446" s="26">
        <v>46251</v>
      </c>
      <c r="B446" s="27" t="str">
        <f t="shared" si="28"/>
        <v>月</v>
      </c>
      <c r="C446" s="3" t="s">
        <v>351</v>
      </c>
      <c r="D446" s="3" t="s">
        <v>24</v>
      </c>
      <c r="E446" s="12">
        <v>50</v>
      </c>
      <c r="F446" s="13" t="s">
        <v>377</v>
      </c>
      <c r="G446" s="13" t="s">
        <v>14</v>
      </c>
      <c r="H446" s="14">
        <v>3000</v>
      </c>
      <c r="I446" s="3" t="s">
        <v>11</v>
      </c>
      <c r="J446" s="6" t="s">
        <v>687</v>
      </c>
      <c r="K446" s="1" t="s">
        <v>800</v>
      </c>
    </row>
    <row r="447" spans="1:11" ht="18.45">
      <c r="A447" s="26">
        <v>46253</v>
      </c>
      <c r="B447" s="27" t="str">
        <f t="shared" si="28"/>
        <v>水</v>
      </c>
      <c r="C447" s="3" t="s">
        <v>336</v>
      </c>
      <c r="D447" s="3" t="s">
        <v>148</v>
      </c>
      <c r="E447" s="12">
        <v>30</v>
      </c>
      <c r="F447" s="13" t="s">
        <v>146</v>
      </c>
      <c r="G447" s="13" t="s">
        <v>147</v>
      </c>
      <c r="H447" s="14">
        <v>0</v>
      </c>
      <c r="I447" s="3" t="s">
        <v>9</v>
      </c>
      <c r="J447" s="6" t="s">
        <v>839</v>
      </c>
      <c r="K447" s="1" t="s">
        <v>800</v>
      </c>
    </row>
    <row r="448" spans="1:11" ht="18.45">
      <c r="A448" s="26">
        <v>46253</v>
      </c>
      <c r="B448" s="27" t="str">
        <f t="shared" si="28"/>
        <v>水</v>
      </c>
      <c r="C448" s="3" t="s">
        <v>412</v>
      </c>
      <c r="D448" s="3" t="s">
        <v>29</v>
      </c>
      <c r="E448" s="12"/>
      <c r="F448" s="13" t="s">
        <v>608</v>
      </c>
      <c r="G448" s="13" t="s">
        <v>609</v>
      </c>
      <c r="H448" s="14">
        <v>0</v>
      </c>
      <c r="I448" s="3" t="s">
        <v>31</v>
      </c>
      <c r="J448" s="6" t="s">
        <v>32</v>
      </c>
      <c r="K448" s="1" t="s">
        <v>800</v>
      </c>
    </row>
    <row r="449" spans="1:11" ht="18.45">
      <c r="A449" s="26">
        <v>46253</v>
      </c>
      <c r="B449" s="27" t="str">
        <f t="shared" ref="B449" si="41">TEXT(A449,"aaa")</f>
        <v>水</v>
      </c>
      <c r="C449" s="3" t="s">
        <v>705</v>
      </c>
      <c r="D449" s="3" t="s">
        <v>706</v>
      </c>
      <c r="E449" s="12">
        <v>20</v>
      </c>
      <c r="F449" s="13" t="s">
        <v>13</v>
      </c>
      <c r="G449" s="13" t="s">
        <v>707</v>
      </c>
      <c r="H449" s="14">
        <v>2000</v>
      </c>
      <c r="I449" s="3" t="s">
        <v>9</v>
      </c>
      <c r="J449" s="6" t="s">
        <v>840</v>
      </c>
      <c r="K449" s="1" t="s">
        <v>800</v>
      </c>
    </row>
    <row r="450" spans="1:11" ht="18.45">
      <c r="A450" s="26">
        <v>46258</v>
      </c>
      <c r="B450" s="27" t="str">
        <f t="shared" si="28"/>
        <v>月</v>
      </c>
      <c r="C450" s="3" t="s">
        <v>412</v>
      </c>
      <c r="D450" s="3" t="s">
        <v>558</v>
      </c>
      <c r="E450" s="12"/>
      <c r="F450" s="13" t="s">
        <v>608</v>
      </c>
      <c r="G450" s="13" t="s">
        <v>609</v>
      </c>
      <c r="H450" s="14">
        <v>0</v>
      </c>
      <c r="I450" s="3" t="s">
        <v>31</v>
      </c>
      <c r="J450" s="6" t="s">
        <v>32</v>
      </c>
      <c r="K450" s="1" t="s">
        <v>800</v>
      </c>
    </row>
    <row r="451" spans="1:11" ht="18.45">
      <c r="A451" s="26">
        <v>46258</v>
      </c>
      <c r="B451" s="27" t="str">
        <f t="shared" ref="B451:B453" si="42">TEXT(A451,"aaa")</f>
        <v>月</v>
      </c>
      <c r="C451" s="3" t="s">
        <v>705</v>
      </c>
      <c r="D451" s="3" t="s">
        <v>706</v>
      </c>
      <c r="E451" s="12">
        <v>20</v>
      </c>
      <c r="F451" s="13" t="s">
        <v>13</v>
      </c>
      <c r="G451" s="13" t="s">
        <v>707</v>
      </c>
      <c r="H451" s="14">
        <v>0</v>
      </c>
      <c r="I451" s="3" t="s">
        <v>9</v>
      </c>
      <c r="J451" s="6" t="s">
        <v>841</v>
      </c>
      <c r="K451" s="1" t="s">
        <v>800</v>
      </c>
    </row>
    <row r="452" spans="1:11" ht="18.45">
      <c r="A452" s="26">
        <v>46259</v>
      </c>
      <c r="B452" s="27" t="str">
        <f t="shared" si="42"/>
        <v>火</v>
      </c>
      <c r="C452" s="3" t="s">
        <v>453</v>
      </c>
      <c r="D452" s="3" t="s">
        <v>29</v>
      </c>
      <c r="E452" s="12">
        <v>40</v>
      </c>
      <c r="F452" s="13" t="s">
        <v>152</v>
      </c>
      <c r="G452" s="13" t="s">
        <v>10</v>
      </c>
      <c r="H452" s="14">
        <v>3000</v>
      </c>
      <c r="I452" s="3" t="s">
        <v>11</v>
      </c>
      <c r="J452" s="6" t="s">
        <v>33</v>
      </c>
      <c r="K452" s="1" t="s">
        <v>800</v>
      </c>
    </row>
    <row r="453" spans="1:11" ht="18.45">
      <c r="A453" s="26">
        <v>46260</v>
      </c>
      <c r="B453" s="27" t="str">
        <f t="shared" si="42"/>
        <v>水</v>
      </c>
      <c r="C453" s="3" t="s">
        <v>351</v>
      </c>
      <c r="D453" s="3" t="s">
        <v>241</v>
      </c>
      <c r="E453" s="12">
        <v>200</v>
      </c>
      <c r="F453" s="13" t="s">
        <v>41</v>
      </c>
      <c r="G453" s="13" t="s">
        <v>260</v>
      </c>
      <c r="H453" s="14">
        <v>0</v>
      </c>
      <c r="I453" s="3" t="s">
        <v>9</v>
      </c>
      <c r="J453" s="6" t="s">
        <v>798</v>
      </c>
      <c r="K453" s="1" t="s">
        <v>800</v>
      </c>
    </row>
    <row r="454" spans="1:11" ht="18.45">
      <c r="A454" s="26">
        <v>46260</v>
      </c>
      <c r="B454" s="27" t="str">
        <f t="shared" ref="B454" si="43">TEXT(A454,"aaa")</f>
        <v>水</v>
      </c>
      <c r="C454" s="3" t="s">
        <v>507</v>
      </c>
      <c r="D454" s="3" t="s">
        <v>148</v>
      </c>
      <c r="E454" s="12">
        <v>20</v>
      </c>
      <c r="F454" s="13" t="s">
        <v>842</v>
      </c>
      <c r="G454" s="13" t="s">
        <v>844</v>
      </c>
      <c r="H454" s="14">
        <v>0</v>
      </c>
      <c r="I454" s="3" t="s">
        <v>9</v>
      </c>
      <c r="J454" s="6" t="s">
        <v>843</v>
      </c>
      <c r="K454" s="1" t="s">
        <v>800</v>
      </c>
    </row>
    <row r="455" spans="1:11" ht="18.45">
      <c r="A455" s="26">
        <v>46261</v>
      </c>
      <c r="B455" s="27" t="str">
        <f t="shared" si="28"/>
        <v>木</v>
      </c>
      <c r="C455" s="3" t="s">
        <v>351</v>
      </c>
      <c r="D455" s="3" t="s">
        <v>241</v>
      </c>
      <c r="E455" s="12">
        <v>200</v>
      </c>
      <c r="F455" s="13" t="s">
        <v>41</v>
      </c>
      <c r="G455" s="13" t="s">
        <v>260</v>
      </c>
      <c r="H455" s="14">
        <v>0</v>
      </c>
      <c r="I455" s="3" t="s">
        <v>9</v>
      </c>
      <c r="J455" s="6" t="s">
        <v>798</v>
      </c>
      <c r="K455" s="1" t="s">
        <v>800</v>
      </c>
    </row>
    <row r="456" spans="1:11">
      <c r="A456" s="26">
        <v>46266</v>
      </c>
      <c r="B456" s="27" t="str">
        <f t="shared" si="28"/>
        <v>火</v>
      </c>
      <c r="C456" s="28" t="s">
        <v>848</v>
      </c>
      <c r="D456" s="28" t="s">
        <v>306</v>
      </c>
      <c r="E456" s="29">
        <v>50</v>
      </c>
      <c r="F456" s="30" t="s">
        <v>13</v>
      </c>
      <c r="G456" s="30" t="s">
        <v>14</v>
      </c>
      <c r="H456" s="31">
        <v>3000</v>
      </c>
      <c r="I456" s="28" t="s">
        <v>9</v>
      </c>
      <c r="J456" s="70" t="s">
        <v>849</v>
      </c>
      <c r="K456" s="1" t="s">
        <v>800</v>
      </c>
    </row>
    <row r="457" spans="1:11">
      <c r="A457" s="26">
        <v>46266</v>
      </c>
      <c r="B457" s="27" t="str">
        <f t="shared" si="28"/>
        <v>火</v>
      </c>
      <c r="C457" s="28" t="s">
        <v>705</v>
      </c>
      <c r="D457" s="28" t="s">
        <v>706</v>
      </c>
      <c r="E457" s="29">
        <v>20</v>
      </c>
      <c r="F457" s="30" t="s">
        <v>13</v>
      </c>
      <c r="G457" s="30" t="s">
        <v>707</v>
      </c>
      <c r="H457" s="31">
        <v>0</v>
      </c>
      <c r="I457" s="28" t="s">
        <v>9</v>
      </c>
      <c r="J457" s="70" t="s">
        <v>850</v>
      </c>
      <c r="K457" s="1" t="s">
        <v>800</v>
      </c>
    </row>
    <row r="458" spans="1:11">
      <c r="A458" s="26">
        <v>46268</v>
      </c>
      <c r="B458" s="27" t="str">
        <f t="shared" si="28"/>
        <v>木</v>
      </c>
      <c r="C458" s="38" t="s">
        <v>851</v>
      </c>
      <c r="D458" s="38" t="s">
        <v>446</v>
      </c>
      <c r="E458" s="39">
        <v>50</v>
      </c>
      <c r="F458" s="40" t="s">
        <v>368</v>
      </c>
      <c r="G458" s="40" t="s">
        <v>21</v>
      </c>
      <c r="H458" s="42">
        <v>3000</v>
      </c>
      <c r="I458" s="38" t="s">
        <v>852</v>
      </c>
      <c r="J458" s="71" t="s">
        <v>853</v>
      </c>
      <c r="K458" s="1" t="s">
        <v>800</v>
      </c>
    </row>
    <row r="459" spans="1:11">
      <c r="A459" s="26">
        <v>46268</v>
      </c>
      <c r="B459" s="27" t="str">
        <f t="shared" si="28"/>
        <v>木</v>
      </c>
      <c r="C459" s="28" t="s">
        <v>523</v>
      </c>
      <c r="D459" s="28" t="s">
        <v>406</v>
      </c>
      <c r="E459" s="29">
        <v>50</v>
      </c>
      <c r="F459" s="30" t="s">
        <v>662</v>
      </c>
      <c r="G459" s="30" t="s">
        <v>105</v>
      </c>
      <c r="H459" s="31">
        <v>0</v>
      </c>
      <c r="I459" s="28" t="s">
        <v>9</v>
      </c>
      <c r="J459" s="70" t="s">
        <v>854</v>
      </c>
      <c r="K459" s="1" t="s">
        <v>800</v>
      </c>
    </row>
    <row r="460" spans="1:11">
      <c r="A460" s="26">
        <v>46268</v>
      </c>
      <c r="B460" s="27" t="str">
        <f t="shared" si="28"/>
        <v>木</v>
      </c>
      <c r="C460" s="28" t="s">
        <v>523</v>
      </c>
      <c r="D460" s="28" t="s">
        <v>855</v>
      </c>
      <c r="E460" s="29">
        <v>70</v>
      </c>
      <c r="F460" s="30" t="s">
        <v>13</v>
      </c>
      <c r="G460" s="30" t="s">
        <v>730</v>
      </c>
      <c r="H460" s="31">
        <v>0</v>
      </c>
      <c r="I460" s="28" t="s">
        <v>9</v>
      </c>
      <c r="J460" s="70" t="s">
        <v>856</v>
      </c>
      <c r="K460" s="1" t="s">
        <v>800</v>
      </c>
    </row>
    <row r="461" spans="1:11">
      <c r="A461" s="26">
        <v>46268</v>
      </c>
      <c r="B461" s="27" t="str">
        <f t="shared" si="28"/>
        <v>木</v>
      </c>
      <c r="C461" s="34" t="s">
        <v>507</v>
      </c>
      <c r="D461" s="34" t="s">
        <v>151</v>
      </c>
      <c r="E461" s="35">
        <v>30</v>
      </c>
      <c r="F461" s="36" t="s">
        <v>538</v>
      </c>
      <c r="G461" s="36" t="s">
        <v>857</v>
      </c>
      <c r="H461" s="42">
        <v>3000</v>
      </c>
      <c r="I461" s="34" t="s">
        <v>9</v>
      </c>
      <c r="J461" s="72" t="s">
        <v>858</v>
      </c>
      <c r="K461" s="1" t="s">
        <v>800</v>
      </c>
    </row>
    <row r="462" spans="1:11">
      <c r="A462" s="26">
        <v>46269</v>
      </c>
      <c r="B462" s="27" t="str">
        <f t="shared" ref="B462:B507" si="44">TEXT(A462,"aaa")</f>
        <v>金</v>
      </c>
      <c r="C462" s="28" t="s">
        <v>391</v>
      </c>
      <c r="D462" s="28" t="s">
        <v>558</v>
      </c>
      <c r="E462" s="29">
        <v>30</v>
      </c>
      <c r="F462" s="30" t="s">
        <v>859</v>
      </c>
      <c r="G462" s="30" t="s">
        <v>196</v>
      </c>
      <c r="H462" s="31">
        <v>0</v>
      </c>
      <c r="I462" s="28" t="s">
        <v>9</v>
      </c>
      <c r="J462" s="70" t="s">
        <v>860</v>
      </c>
      <c r="K462" s="1" t="s">
        <v>800</v>
      </c>
    </row>
    <row r="463" spans="1:11">
      <c r="A463" s="26">
        <v>46273</v>
      </c>
      <c r="B463" s="27" t="str">
        <f t="shared" si="44"/>
        <v>火</v>
      </c>
      <c r="C463" s="28" t="s">
        <v>861</v>
      </c>
      <c r="D463" s="28" t="s">
        <v>324</v>
      </c>
      <c r="E463" s="29">
        <v>10</v>
      </c>
      <c r="F463" s="30" t="s">
        <v>862</v>
      </c>
      <c r="G463" s="30" t="s">
        <v>863</v>
      </c>
      <c r="H463" s="33">
        <v>0</v>
      </c>
      <c r="I463" s="28" t="s">
        <v>9</v>
      </c>
      <c r="J463" s="70" t="s">
        <v>864</v>
      </c>
      <c r="K463" s="1" t="s">
        <v>800</v>
      </c>
    </row>
    <row r="464" spans="1:11">
      <c r="A464" s="26">
        <v>46273</v>
      </c>
      <c r="B464" s="27" t="str">
        <f t="shared" si="44"/>
        <v>火</v>
      </c>
      <c r="C464" s="28" t="s">
        <v>865</v>
      </c>
      <c r="D464" s="28" t="s">
        <v>866</v>
      </c>
      <c r="E464" s="29">
        <v>40</v>
      </c>
      <c r="F464" s="30" t="s">
        <v>538</v>
      </c>
      <c r="G464" s="30" t="s">
        <v>928</v>
      </c>
      <c r="H464" s="33">
        <v>2000</v>
      </c>
      <c r="I464" s="28" t="s">
        <v>193</v>
      </c>
      <c r="J464" s="70" t="s">
        <v>867</v>
      </c>
      <c r="K464" s="1" t="s">
        <v>800</v>
      </c>
    </row>
    <row r="465" spans="1:11">
      <c r="A465" s="26">
        <v>46273</v>
      </c>
      <c r="B465" s="27" t="str">
        <f t="shared" si="44"/>
        <v>火</v>
      </c>
      <c r="C465" s="28" t="s">
        <v>544</v>
      </c>
      <c r="D465" s="28" t="s">
        <v>263</v>
      </c>
      <c r="E465" s="29">
        <v>30</v>
      </c>
      <c r="F465" s="30" t="s">
        <v>538</v>
      </c>
      <c r="G465" s="30" t="s">
        <v>857</v>
      </c>
      <c r="H465" s="42">
        <v>3000</v>
      </c>
      <c r="I465" s="28" t="s">
        <v>9</v>
      </c>
      <c r="J465" s="70" t="s">
        <v>868</v>
      </c>
      <c r="K465" s="1" t="s">
        <v>800</v>
      </c>
    </row>
    <row r="466" spans="1:11">
      <c r="A466" s="26">
        <v>46274</v>
      </c>
      <c r="B466" s="27" t="str">
        <f t="shared" si="44"/>
        <v>水</v>
      </c>
      <c r="C466" s="28" t="s">
        <v>336</v>
      </c>
      <c r="D466" s="28" t="s">
        <v>151</v>
      </c>
      <c r="E466" s="29">
        <v>45</v>
      </c>
      <c r="F466" s="30" t="s">
        <v>538</v>
      </c>
      <c r="G466" s="30" t="s">
        <v>64</v>
      </c>
      <c r="H466" s="33">
        <v>3000</v>
      </c>
      <c r="I466" s="28" t="s">
        <v>9</v>
      </c>
      <c r="J466" s="70" t="s">
        <v>869</v>
      </c>
      <c r="K466" s="1" t="s">
        <v>800</v>
      </c>
    </row>
    <row r="467" spans="1:11">
      <c r="A467" s="26">
        <v>46274</v>
      </c>
      <c r="B467" s="27" t="str">
        <f t="shared" si="44"/>
        <v>水</v>
      </c>
      <c r="C467" s="28" t="s">
        <v>382</v>
      </c>
      <c r="D467" s="28" t="s">
        <v>285</v>
      </c>
      <c r="E467" s="29">
        <v>50</v>
      </c>
      <c r="F467" s="30" t="s">
        <v>13</v>
      </c>
      <c r="G467" s="30" t="s">
        <v>383</v>
      </c>
      <c r="H467" s="33">
        <v>1000</v>
      </c>
      <c r="I467" s="28" t="s">
        <v>9</v>
      </c>
      <c r="J467" s="70" t="s">
        <v>870</v>
      </c>
      <c r="K467" s="1" t="s">
        <v>800</v>
      </c>
    </row>
    <row r="468" spans="1:11">
      <c r="A468" s="26">
        <v>46274</v>
      </c>
      <c r="B468" s="27" t="str">
        <f t="shared" si="44"/>
        <v>水</v>
      </c>
      <c r="C468" s="28" t="s">
        <v>507</v>
      </c>
      <c r="D468" s="28" t="s">
        <v>186</v>
      </c>
      <c r="E468" s="29">
        <v>40</v>
      </c>
      <c r="F468" s="30" t="s">
        <v>871</v>
      </c>
      <c r="G468" s="30" t="s">
        <v>872</v>
      </c>
      <c r="H468" s="33">
        <v>0</v>
      </c>
      <c r="I468" s="28" t="s">
        <v>9</v>
      </c>
      <c r="J468" s="70" t="s">
        <v>873</v>
      </c>
      <c r="K468" s="1" t="s">
        <v>800</v>
      </c>
    </row>
    <row r="469" spans="1:11">
      <c r="A469" s="26">
        <v>46274</v>
      </c>
      <c r="B469" s="27" t="str">
        <f t="shared" si="44"/>
        <v>水</v>
      </c>
      <c r="C469" s="28" t="s">
        <v>705</v>
      </c>
      <c r="D469" s="28" t="s">
        <v>706</v>
      </c>
      <c r="E469" s="29">
        <v>20</v>
      </c>
      <c r="F469" s="30" t="s">
        <v>13</v>
      </c>
      <c r="G469" s="30" t="s">
        <v>707</v>
      </c>
      <c r="H469" s="31">
        <v>0</v>
      </c>
      <c r="I469" s="28" t="s">
        <v>9</v>
      </c>
      <c r="J469" s="70" t="s">
        <v>874</v>
      </c>
      <c r="K469" s="1" t="s">
        <v>800</v>
      </c>
    </row>
    <row r="470" spans="1:11">
      <c r="A470" s="26">
        <v>46275</v>
      </c>
      <c r="B470" s="27" t="str">
        <f t="shared" si="44"/>
        <v>木</v>
      </c>
      <c r="C470" s="28" t="s">
        <v>712</v>
      </c>
      <c r="D470" s="28" t="s">
        <v>186</v>
      </c>
      <c r="E470" s="29">
        <v>20</v>
      </c>
      <c r="F470" s="30" t="s">
        <v>402</v>
      </c>
      <c r="G470" s="30" t="s">
        <v>875</v>
      </c>
      <c r="H470" s="31">
        <v>0</v>
      </c>
      <c r="I470" s="28" t="s">
        <v>9</v>
      </c>
      <c r="J470" s="70" t="s">
        <v>876</v>
      </c>
      <c r="K470" s="1" t="s">
        <v>800</v>
      </c>
    </row>
    <row r="471" spans="1:11">
      <c r="A471" s="26">
        <v>46275</v>
      </c>
      <c r="B471" s="27" t="str">
        <f t="shared" si="44"/>
        <v>木</v>
      </c>
      <c r="C471" s="28" t="s">
        <v>523</v>
      </c>
      <c r="D471" s="28" t="s">
        <v>151</v>
      </c>
      <c r="E471" s="29">
        <v>70</v>
      </c>
      <c r="F471" s="30" t="s">
        <v>877</v>
      </c>
      <c r="G471" s="30" t="s">
        <v>730</v>
      </c>
      <c r="H471" s="31">
        <v>0</v>
      </c>
      <c r="I471" s="28" t="s">
        <v>9</v>
      </c>
      <c r="J471" s="70" t="s">
        <v>878</v>
      </c>
      <c r="K471" s="1" t="s">
        <v>800</v>
      </c>
    </row>
    <row r="472" spans="1:11">
      <c r="A472" s="26">
        <v>46275</v>
      </c>
      <c r="B472" s="27" t="str">
        <f t="shared" si="44"/>
        <v>木</v>
      </c>
      <c r="C472" s="28" t="s">
        <v>507</v>
      </c>
      <c r="D472" s="28" t="s">
        <v>155</v>
      </c>
      <c r="E472" s="29">
        <v>110</v>
      </c>
      <c r="F472" s="30" t="s">
        <v>34</v>
      </c>
      <c r="G472" s="30" t="s">
        <v>35</v>
      </c>
      <c r="H472" s="31">
        <v>0</v>
      </c>
      <c r="I472" s="28" t="s">
        <v>11</v>
      </c>
      <c r="J472" s="70" t="s">
        <v>36</v>
      </c>
      <c r="K472" s="1" t="s">
        <v>800</v>
      </c>
    </row>
    <row r="473" spans="1:11">
      <c r="A473" s="26">
        <v>46275</v>
      </c>
      <c r="B473" s="27" t="str">
        <f t="shared" si="44"/>
        <v>木</v>
      </c>
      <c r="C473" s="28" t="s">
        <v>507</v>
      </c>
      <c r="D473" s="28" t="s">
        <v>151</v>
      </c>
      <c r="E473" s="29">
        <v>30</v>
      </c>
      <c r="F473" s="30" t="s">
        <v>538</v>
      </c>
      <c r="G473" s="30" t="s">
        <v>857</v>
      </c>
      <c r="H473" s="42">
        <v>3000</v>
      </c>
      <c r="I473" s="28" t="s">
        <v>9</v>
      </c>
      <c r="J473" s="70" t="s">
        <v>879</v>
      </c>
      <c r="K473" s="1" t="s">
        <v>800</v>
      </c>
    </row>
    <row r="474" spans="1:11">
      <c r="A474" s="26">
        <v>46279</v>
      </c>
      <c r="B474" s="27" t="str">
        <f t="shared" si="44"/>
        <v>月</v>
      </c>
      <c r="C474" s="28" t="s">
        <v>880</v>
      </c>
      <c r="D474" s="28" t="s">
        <v>469</v>
      </c>
      <c r="E474" s="29">
        <v>45</v>
      </c>
      <c r="F474" s="30" t="s">
        <v>34</v>
      </c>
      <c r="G474" s="30" t="s">
        <v>35</v>
      </c>
      <c r="H474" s="31">
        <v>0</v>
      </c>
      <c r="I474" s="28" t="s">
        <v>11</v>
      </c>
      <c r="J474" s="73" t="s">
        <v>36</v>
      </c>
      <c r="K474" s="1" t="s">
        <v>800</v>
      </c>
    </row>
    <row r="475" spans="1:11">
      <c r="A475" s="26">
        <v>46280</v>
      </c>
      <c r="B475" s="27" t="str">
        <f t="shared" si="44"/>
        <v>火</v>
      </c>
      <c r="C475" s="28" t="s">
        <v>391</v>
      </c>
      <c r="D475" s="28" t="s">
        <v>881</v>
      </c>
      <c r="E475" s="29">
        <v>15</v>
      </c>
      <c r="F475" s="30" t="s">
        <v>252</v>
      </c>
      <c r="G475" s="30" t="s">
        <v>253</v>
      </c>
      <c r="H475" s="33">
        <v>2000</v>
      </c>
      <c r="I475" s="28" t="s">
        <v>9</v>
      </c>
      <c r="J475" s="70" t="s">
        <v>882</v>
      </c>
      <c r="K475" s="1" t="s">
        <v>800</v>
      </c>
    </row>
    <row r="476" spans="1:11">
      <c r="A476" s="26">
        <v>46280</v>
      </c>
      <c r="B476" s="27" t="str">
        <f t="shared" si="44"/>
        <v>火</v>
      </c>
      <c r="C476" s="28" t="s">
        <v>880</v>
      </c>
      <c r="D476" s="28" t="s">
        <v>718</v>
      </c>
      <c r="E476" s="29">
        <v>40</v>
      </c>
      <c r="F476" s="30" t="s">
        <v>34</v>
      </c>
      <c r="G476" s="30" t="s">
        <v>35</v>
      </c>
      <c r="H476" s="31">
        <v>0</v>
      </c>
      <c r="I476" s="28" t="s">
        <v>11</v>
      </c>
      <c r="J476" s="73" t="s">
        <v>36</v>
      </c>
      <c r="K476" s="1" t="s">
        <v>800</v>
      </c>
    </row>
    <row r="477" spans="1:11">
      <c r="A477" s="26">
        <v>46280</v>
      </c>
      <c r="B477" s="27" t="str">
        <f t="shared" si="44"/>
        <v>火</v>
      </c>
      <c r="C477" s="28" t="s">
        <v>523</v>
      </c>
      <c r="D477" s="28" t="s">
        <v>883</v>
      </c>
      <c r="E477" s="29">
        <v>50</v>
      </c>
      <c r="F477" s="30" t="s">
        <v>884</v>
      </c>
      <c r="G477" s="30" t="s">
        <v>105</v>
      </c>
      <c r="H477" s="33">
        <v>0</v>
      </c>
      <c r="I477" s="28" t="s">
        <v>9</v>
      </c>
      <c r="J477" s="70" t="s">
        <v>885</v>
      </c>
      <c r="K477" s="1" t="s">
        <v>800</v>
      </c>
    </row>
    <row r="478" spans="1:11">
      <c r="A478" s="26">
        <v>46281</v>
      </c>
      <c r="B478" s="27" t="str">
        <f t="shared" si="44"/>
        <v>水</v>
      </c>
      <c r="C478" s="28" t="s">
        <v>351</v>
      </c>
      <c r="D478" s="28" t="s">
        <v>155</v>
      </c>
      <c r="E478" s="29">
        <v>30</v>
      </c>
      <c r="F478" s="30" t="s">
        <v>886</v>
      </c>
      <c r="G478" s="30" t="s">
        <v>156</v>
      </c>
      <c r="H478" s="33">
        <v>3000</v>
      </c>
      <c r="I478" s="28" t="s">
        <v>9</v>
      </c>
      <c r="J478" s="70" t="s">
        <v>887</v>
      </c>
      <c r="K478" s="1" t="s">
        <v>800</v>
      </c>
    </row>
    <row r="479" spans="1:11">
      <c r="A479" s="26">
        <v>46281</v>
      </c>
      <c r="B479" s="27" t="str">
        <f t="shared" si="44"/>
        <v>水</v>
      </c>
      <c r="C479" s="28" t="s">
        <v>449</v>
      </c>
      <c r="D479" s="28" t="s">
        <v>888</v>
      </c>
      <c r="E479" s="29">
        <v>45</v>
      </c>
      <c r="F479" s="30" t="s">
        <v>889</v>
      </c>
      <c r="G479" s="30" t="s">
        <v>890</v>
      </c>
      <c r="H479" s="33">
        <v>0</v>
      </c>
      <c r="I479" s="28" t="s">
        <v>9</v>
      </c>
      <c r="J479" s="70" t="s">
        <v>891</v>
      </c>
      <c r="K479" s="1" t="s">
        <v>800</v>
      </c>
    </row>
    <row r="480" spans="1:11">
      <c r="A480" s="26">
        <v>46281</v>
      </c>
      <c r="B480" s="27" t="str">
        <f t="shared" si="44"/>
        <v>水</v>
      </c>
      <c r="C480" s="28" t="s">
        <v>336</v>
      </c>
      <c r="D480" s="28" t="s">
        <v>186</v>
      </c>
      <c r="E480" s="29">
        <v>30</v>
      </c>
      <c r="F480" s="30" t="s">
        <v>538</v>
      </c>
      <c r="G480" s="30" t="s">
        <v>21</v>
      </c>
      <c r="H480" s="42">
        <v>3000</v>
      </c>
      <c r="I480" s="28" t="s">
        <v>193</v>
      </c>
      <c r="J480" s="70" t="s">
        <v>892</v>
      </c>
      <c r="K480" s="1" t="s">
        <v>800</v>
      </c>
    </row>
    <row r="481" spans="1:11">
      <c r="A481" s="26">
        <v>46281</v>
      </c>
      <c r="B481" s="27" t="str">
        <f t="shared" si="44"/>
        <v>水</v>
      </c>
      <c r="C481" s="28" t="s">
        <v>676</v>
      </c>
      <c r="D481" s="28" t="s">
        <v>324</v>
      </c>
      <c r="E481" s="29">
        <v>50</v>
      </c>
      <c r="F481" s="30" t="s">
        <v>893</v>
      </c>
      <c r="G481" s="30" t="s">
        <v>863</v>
      </c>
      <c r="H481" s="31">
        <v>8000</v>
      </c>
      <c r="I481" s="28" t="s">
        <v>9</v>
      </c>
      <c r="J481" s="70" t="s">
        <v>894</v>
      </c>
      <c r="K481" s="1" t="s">
        <v>800</v>
      </c>
    </row>
    <row r="482" spans="1:11">
      <c r="A482" s="26">
        <v>46282</v>
      </c>
      <c r="B482" s="27" t="str">
        <f t="shared" si="44"/>
        <v>木</v>
      </c>
      <c r="C482" s="28" t="s">
        <v>895</v>
      </c>
      <c r="D482" s="28" t="s">
        <v>155</v>
      </c>
      <c r="E482" s="29">
        <v>60</v>
      </c>
      <c r="F482" s="30" t="s">
        <v>896</v>
      </c>
      <c r="G482" s="30"/>
      <c r="H482" s="33">
        <v>3000</v>
      </c>
      <c r="I482" s="28" t="s">
        <v>9</v>
      </c>
      <c r="J482" s="70" t="s">
        <v>897</v>
      </c>
      <c r="K482" s="1" t="s">
        <v>800</v>
      </c>
    </row>
    <row r="483" spans="1:11">
      <c r="A483" s="26">
        <v>46282</v>
      </c>
      <c r="B483" s="27" t="str">
        <f t="shared" si="44"/>
        <v>木</v>
      </c>
      <c r="C483" s="28" t="s">
        <v>453</v>
      </c>
      <c r="D483" s="28" t="s">
        <v>186</v>
      </c>
      <c r="E483" s="29">
        <v>35</v>
      </c>
      <c r="F483" s="30" t="s">
        <v>152</v>
      </c>
      <c r="G483" s="30" t="s">
        <v>10</v>
      </c>
      <c r="H483" s="31">
        <v>3000</v>
      </c>
      <c r="I483" s="28" t="s">
        <v>11</v>
      </c>
      <c r="J483" s="73" t="s">
        <v>33</v>
      </c>
      <c r="K483" s="1" t="s">
        <v>800</v>
      </c>
    </row>
    <row r="484" spans="1:11">
      <c r="A484" s="26">
        <v>46282</v>
      </c>
      <c r="B484" s="27" t="str">
        <f t="shared" si="44"/>
        <v>木</v>
      </c>
      <c r="C484" s="28" t="s">
        <v>544</v>
      </c>
      <c r="D484" s="28" t="s">
        <v>898</v>
      </c>
      <c r="E484" s="29">
        <v>70</v>
      </c>
      <c r="F484" s="30" t="s">
        <v>13</v>
      </c>
      <c r="G484" s="30" t="s">
        <v>730</v>
      </c>
      <c r="H484" s="31">
        <v>0</v>
      </c>
      <c r="I484" s="28" t="s">
        <v>9</v>
      </c>
      <c r="J484" s="70" t="s">
        <v>899</v>
      </c>
      <c r="K484" s="1" t="s">
        <v>800</v>
      </c>
    </row>
    <row r="485" spans="1:11">
      <c r="A485" s="26">
        <v>46282</v>
      </c>
      <c r="B485" s="27" t="str">
        <f t="shared" si="44"/>
        <v>木</v>
      </c>
      <c r="C485" s="38" t="s">
        <v>900</v>
      </c>
      <c r="D485" s="38" t="s">
        <v>469</v>
      </c>
      <c r="E485" s="39">
        <v>20</v>
      </c>
      <c r="F485" s="40" t="s">
        <v>39</v>
      </c>
      <c r="G485" s="40" t="s">
        <v>21</v>
      </c>
      <c r="H485" s="42">
        <v>3000</v>
      </c>
      <c r="I485" s="38" t="s">
        <v>9</v>
      </c>
      <c r="J485" s="74" t="s">
        <v>901</v>
      </c>
      <c r="K485" s="1" t="s">
        <v>800</v>
      </c>
    </row>
    <row r="486" spans="1:11">
      <c r="A486" s="26">
        <v>46282</v>
      </c>
      <c r="B486" s="27" t="str">
        <f t="shared" si="44"/>
        <v>木</v>
      </c>
      <c r="C486" s="28" t="s">
        <v>705</v>
      </c>
      <c r="D486" s="28" t="s">
        <v>706</v>
      </c>
      <c r="E486" s="29">
        <v>20</v>
      </c>
      <c r="F486" s="30" t="s">
        <v>13</v>
      </c>
      <c r="G486" s="30" t="s">
        <v>707</v>
      </c>
      <c r="H486" s="31">
        <v>0</v>
      </c>
      <c r="I486" s="28" t="s">
        <v>9</v>
      </c>
      <c r="J486" s="70" t="s">
        <v>902</v>
      </c>
      <c r="K486" s="1" t="s">
        <v>800</v>
      </c>
    </row>
    <row r="487" spans="1:11">
      <c r="A487" s="26">
        <v>46282</v>
      </c>
      <c r="B487" s="27" t="str">
        <f t="shared" si="44"/>
        <v>木</v>
      </c>
      <c r="C487" s="28" t="s">
        <v>507</v>
      </c>
      <c r="D487" s="28" t="s">
        <v>151</v>
      </c>
      <c r="E487" s="29">
        <v>30</v>
      </c>
      <c r="F487" s="30" t="s">
        <v>538</v>
      </c>
      <c r="G487" s="30" t="s">
        <v>857</v>
      </c>
      <c r="H487" s="42">
        <v>3000</v>
      </c>
      <c r="I487" s="28" t="s">
        <v>9</v>
      </c>
      <c r="J487" s="70" t="s">
        <v>903</v>
      </c>
      <c r="K487" s="1" t="s">
        <v>800</v>
      </c>
    </row>
    <row r="488" spans="1:11">
      <c r="A488" s="26">
        <v>46283</v>
      </c>
      <c r="B488" s="27" t="str">
        <f t="shared" si="44"/>
        <v>金</v>
      </c>
      <c r="C488" s="28" t="s">
        <v>331</v>
      </c>
      <c r="D488" s="28" t="s">
        <v>904</v>
      </c>
      <c r="E488" s="29">
        <v>20</v>
      </c>
      <c r="F488" s="30" t="s">
        <v>905</v>
      </c>
      <c r="G488" s="30" t="s">
        <v>929</v>
      </c>
      <c r="H488" s="33">
        <v>2500</v>
      </c>
      <c r="I488" s="28" t="s">
        <v>9</v>
      </c>
      <c r="J488" s="70" t="s">
        <v>906</v>
      </c>
      <c r="K488" s="1" t="s">
        <v>800</v>
      </c>
    </row>
    <row r="489" spans="1:11">
      <c r="A489" s="26">
        <v>46283</v>
      </c>
      <c r="B489" s="27" t="str">
        <f t="shared" si="44"/>
        <v>金</v>
      </c>
      <c r="C489" s="28" t="s">
        <v>453</v>
      </c>
      <c r="D489" s="28" t="s">
        <v>904</v>
      </c>
      <c r="E489" s="29">
        <v>12</v>
      </c>
      <c r="F489" s="30" t="s">
        <v>907</v>
      </c>
      <c r="G489" s="30" t="s">
        <v>929</v>
      </c>
      <c r="H489" s="33">
        <v>2500</v>
      </c>
      <c r="I489" s="28" t="s">
        <v>9</v>
      </c>
      <c r="J489" s="70" t="s">
        <v>908</v>
      </c>
      <c r="K489" s="1" t="s">
        <v>800</v>
      </c>
    </row>
    <row r="490" spans="1:11">
      <c r="A490" s="26">
        <v>46289</v>
      </c>
      <c r="B490" s="27" t="str">
        <f t="shared" si="44"/>
        <v>木</v>
      </c>
      <c r="C490" s="28" t="s">
        <v>712</v>
      </c>
      <c r="D490" s="28" t="s">
        <v>186</v>
      </c>
      <c r="E490" s="29">
        <v>20</v>
      </c>
      <c r="F490" s="30" t="s">
        <v>909</v>
      </c>
      <c r="G490" s="30" t="s">
        <v>910</v>
      </c>
      <c r="H490" s="31">
        <v>0</v>
      </c>
      <c r="I490" s="28" t="s">
        <v>168</v>
      </c>
      <c r="J490" s="70" t="s">
        <v>911</v>
      </c>
      <c r="K490" s="1" t="s">
        <v>800</v>
      </c>
    </row>
    <row r="491" spans="1:11">
      <c r="A491" s="26">
        <v>46289</v>
      </c>
      <c r="B491" s="27" t="str">
        <f t="shared" si="44"/>
        <v>木</v>
      </c>
      <c r="C491" s="28" t="s">
        <v>523</v>
      </c>
      <c r="D491" s="28" t="s">
        <v>406</v>
      </c>
      <c r="E491" s="29">
        <v>70</v>
      </c>
      <c r="F491" s="30" t="s">
        <v>13</v>
      </c>
      <c r="G491" s="30" t="s">
        <v>730</v>
      </c>
      <c r="H491" s="31">
        <v>0</v>
      </c>
      <c r="I491" s="28" t="s">
        <v>9</v>
      </c>
      <c r="J491" s="70" t="s">
        <v>912</v>
      </c>
      <c r="K491" s="1" t="s">
        <v>800</v>
      </c>
    </row>
    <row r="492" spans="1:11">
      <c r="A492" s="26">
        <v>46289</v>
      </c>
      <c r="B492" s="27" t="str">
        <f t="shared" si="44"/>
        <v>木</v>
      </c>
      <c r="C492" s="28" t="s">
        <v>676</v>
      </c>
      <c r="D492" s="28" t="s">
        <v>319</v>
      </c>
      <c r="E492" s="29">
        <v>30</v>
      </c>
      <c r="F492" s="30" t="s">
        <v>20</v>
      </c>
      <c r="G492" s="30" t="s">
        <v>872</v>
      </c>
      <c r="H492" s="31">
        <v>0</v>
      </c>
      <c r="I492" s="28" t="s">
        <v>9</v>
      </c>
      <c r="J492" s="70" t="s">
        <v>913</v>
      </c>
      <c r="K492" s="1" t="s">
        <v>800</v>
      </c>
    </row>
    <row r="493" spans="1:11">
      <c r="A493" s="26">
        <v>46289</v>
      </c>
      <c r="B493" s="27" t="str">
        <f t="shared" si="44"/>
        <v>木</v>
      </c>
      <c r="C493" s="28" t="s">
        <v>507</v>
      </c>
      <c r="D493" s="28" t="s">
        <v>151</v>
      </c>
      <c r="E493" s="29">
        <v>30</v>
      </c>
      <c r="F493" s="30" t="s">
        <v>538</v>
      </c>
      <c r="G493" s="30" t="s">
        <v>857</v>
      </c>
      <c r="H493" s="31">
        <v>3000</v>
      </c>
      <c r="I493" s="28" t="s">
        <v>9</v>
      </c>
      <c r="J493" s="70" t="s">
        <v>914</v>
      </c>
      <c r="K493" s="1" t="s">
        <v>800</v>
      </c>
    </row>
    <row r="494" spans="1:11">
      <c r="A494" s="26">
        <v>46290</v>
      </c>
      <c r="B494" s="27" t="str">
        <f t="shared" si="44"/>
        <v>金</v>
      </c>
      <c r="C494" s="28" t="s">
        <v>351</v>
      </c>
      <c r="D494" s="28" t="s">
        <v>24</v>
      </c>
      <c r="E494" s="29">
        <v>50</v>
      </c>
      <c r="F494" s="30" t="s">
        <v>377</v>
      </c>
      <c r="G494" s="30" t="s">
        <v>14</v>
      </c>
      <c r="H494" s="31">
        <v>3000</v>
      </c>
      <c r="I494" s="28" t="s">
        <v>11</v>
      </c>
      <c r="J494" s="73" t="s">
        <v>687</v>
      </c>
      <c r="K494" s="1" t="s">
        <v>800</v>
      </c>
    </row>
    <row r="495" spans="1:11">
      <c r="A495" s="26">
        <v>46290</v>
      </c>
      <c r="B495" s="27" t="str">
        <f t="shared" si="44"/>
        <v>金</v>
      </c>
      <c r="C495" s="38" t="s">
        <v>521</v>
      </c>
      <c r="D495" s="38" t="s">
        <v>748</v>
      </c>
      <c r="E495" s="39">
        <v>70</v>
      </c>
      <c r="F495" s="40" t="s">
        <v>368</v>
      </c>
      <c r="G495" s="40" t="s">
        <v>21</v>
      </c>
      <c r="H495" s="31">
        <v>3000</v>
      </c>
      <c r="I495" s="38" t="s">
        <v>852</v>
      </c>
      <c r="J495" s="71" t="s">
        <v>915</v>
      </c>
      <c r="K495" s="1" t="s">
        <v>800</v>
      </c>
    </row>
    <row r="496" spans="1:11">
      <c r="A496" s="26">
        <v>46293</v>
      </c>
      <c r="B496" s="27" t="str">
        <f t="shared" si="44"/>
        <v>月</v>
      </c>
      <c r="C496" s="28" t="s">
        <v>391</v>
      </c>
      <c r="D496" s="28" t="s">
        <v>151</v>
      </c>
      <c r="E496" s="29">
        <v>60</v>
      </c>
      <c r="F496" s="30" t="s">
        <v>13</v>
      </c>
      <c r="G496" s="30" t="s">
        <v>934</v>
      </c>
      <c r="H496" s="31">
        <v>0</v>
      </c>
      <c r="I496" s="28" t="s">
        <v>9</v>
      </c>
      <c r="J496" s="73" t="s">
        <v>931</v>
      </c>
      <c r="K496" s="1" t="s">
        <v>800</v>
      </c>
    </row>
    <row r="497" spans="1:11">
      <c r="A497" s="26">
        <v>46293</v>
      </c>
      <c r="B497" s="27" t="str">
        <f t="shared" si="44"/>
        <v>月</v>
      </c>
      <c r="C497" s="28" t="s">
        <v>602</v>
      </c>
      <c r="D497" s="28" t="s">
        <v>155</v>
      </c>
      <c r="E497" s="29">
        <v>60</v>
      </c>
      <c r="F497" s="30" t="s">
        <v>13</v>
      </c>
      <c r="G497" s="30" t="s">
        <v>932</v>
      </c>
      <c r="H497" s="31">
        <v>0</v>
      </c>
      <c r="I497" s="28" t="s">
        <v>9</v>
      </c>
      <c r="J497" s="73" t="s">
        <v>933</v>
      </c>
      <c r="K497" s="1" t="s">
        <v>800</v>
      </c>
    </row>
    <row r="498" spans="1:11">
      <c r="A498" s="26">
        <v>46294</v>
      </c>
      <c r="B498" s="27" t="str">
        <f t="shared" ref="B498:B499" si="45">TEXT(A498,"aaa")</f>
        <v>火</v>
      </c>
      <c r="C498" s="28" t="s">
        <v>331</v>
      </c>
      <c r="D498" s="28" t="s">
        <v>935</v>
      </c>
      <c r="E498" s="29">
        <v>20</v>
      </c>
      <c r="F498" s="30" t="s">
        <v>936</v>
      </c>
      <c r="G498" s="30" t="s">
        <v>929</v>
      </c>
      <c r="H498" s="31">
        <v>2500</v>
      </c>
      <c r="I498" s="28" t="s">
        <v>9</v>
      </c>
      <c r="J498" s="73" t="s">
        <v>937</v>
      </c>
      <c r="K498" s="1" t="s">
        <v>800</v>
      </c>
    </row>
    <row r="499" spans="1:11">
      <c r="A499" s="26">
        <v>46294</v>
      </c>
      <c r="B499" s="27" t="str">
        <f t="shared" si="45"/>
        <v>火</v>
      </c>
      <c r="C499" s="28" t="s">
        <v>336</v>
      </c>
      <c r="D499" s="28" t="s">
        <v>552</v>
      </c>
      <c r="E499" s="29">
        <v>12</v>
      </c>
      <c r="F499" s="30" t="s">
        <v>938</v>
      </c>
      <c r="G499" s="30" t="s">
        <v>939</v>
      </c>
      <c r="H499" s="31">
        <v>2000</v>
      </c>
      <c r="I499" s="28" t="s">
        <v>9</v>
      </c>
      <c r="J499" s="73" t="s">
        <v>940</v>
      </c>
      <c r="K499" s="1" t="s">
        <v>800</v>
      </c>
    </row>
    <row r="500" spans="1:11">
      <c r="A500" s="26">
        <v>46294</v>
      </c>
      <c r="B500" s="27" t="str">
        <f t="shared" ref="B500" si="46">TEXT(A500,"aaa")</f>
        <v>火</v>
      </c>
      <c r="C500" s="28" t="s">
        <v>341</v>
      </c>
      <c r="D500" s="28" t="s">
        <v>941</v>
      </c>
      <c r="E500" s="29">
        <v>20</v>
      </c>
      <c r="F500" s="30" t="s">
        <v>438</v>
      </c>
      <c r="G500" s="30" t="s">
        <v>943</v>
      </c>
      <c r="H500" s="31">
        <v>0</v>
      </c>
      <c r="I500" s="28" t="s">
        <v>9</v>
      </c>
      <c r="J500" s="73" t="s">
        <v>942</v>
      </c>
      <c r="K500" s="1" t="s">
        <v>800</v>
      </c>
    </row>
    <row r="501" spans="1:11">
      <c r="A501" s="26">
        <v>46294</v>
      </c>
      <c r="B501" s="27" t="str">
        <f t="shared" si="44"/>
        <v>火</v>
      </c>
      <c r="C501" s="28" t="s">
        <v>501</v>
      </c>
      <c r="D501" s="28" t="s">
        <v>29</v>
      </c>
      <c r="E501" s="29">
        <v>40</v>
      </c>
      <c r="F501" s="30" t="s">
        <v>152</v>
      </c>
      <c r="G501" s="30" t="s">
        <v>10</v>
      </c>
      <c r="H501" s="31">
        <v>3000</v>
      </c>
      <c r="I501" s="28" t="s">
        <v>11</v>
      </c>
      <c r="J501" s="73" t="s">
        <v>33</v>
      </c>
      <c r="K501" s="1" t="s">
        <v>800</v>
      </c>
    </row>
    <row r="502" spans="1:11">
      <c r="A502" s="26">
        <v>46294</v>
      </c>
      <c r="B502" s="27" t="str">
        <f t="shared" si="44"/>
        <v>火</v>
      </c>
      <c r="C502" s="28" t="s">
        <v>602</v>
      </c>
      <c r="D502" s="28" t="s">
        <v>155</v>
      </c>
      <c r="E502" s="29">
        <v>20</v>
      </c>
      <c r="F502" s="30" t="s">
        <v>702</v>
      </c>
      <c r="G502" s="30" t="s">
        <v>703</v>
      </c>
      <c r="H502" s="31">
        <v>2200</v>
      </c>
      <c r="I502" s="28" t="s">
        <v>9</v>
      </c>
      <c r="J502" s="73" t="s">
        <v>944</v>
      </c>
      <c r="K502" s="1" t="s">
        <v>800</v>
      </c>
    </row>
    <row r="503" spans="1:11">
      <c r="A503" s="26">
        <v>46294</v>
      </c>
      <c r="B503" s="27" t="str">
        <f t="shared" si="44"/>
        <v>火</v>
      </c>
      <c r="C503" s="28" t="s">
        <v>602</v>
      </c>
      <c r="D503" s="28" t="s">
        <v>809</v>
      </c>
      <c r="E503" s="29">
        <v>100</v>
      </c>
      <c r="F503" s="30" t="s">
        <v>402</v>
      </c>
      <c r="G503" s="30" t="s">
        <v>916</v>
      </c>
      <c r="H503" s="31">
        <v>0</v>
      </c>
      <c r="I503" s="28" t="s">
        <v>168</v>
      </c>
      <c r="J503" s="70" t="s">
        <v>917</v>
      </c>
      <c r="K503" s="1" t="s">
        <v>800</v>
      </c>
    </row>
    <row r="504" spans="1:11">
      <c r="A504" s="26">
        <v>46294</v>
      </c>
      <c r="B504" s="27" t="str">
        <f t="shared" si="44"/>
        <v>火</v>
      </c>
      <c r="C504" s="28" t="s">
        <v>523</v>
      </c>
      <c r="D504" s="28" t="s">
        <v>406</v>
      </c>
      <c r="E504" s="29">
        <v>40</v>
      </c>
      <c r="F504" s="30" t="s">
        <v>945</v>
      </c>
      <c r="G504" s="30" t="s">
        <v>105</v>
      </c>
      <c r="H504" s="31">
        <v>0</v>
      </c>
      <c r="I504" s="28" t="s">
        <v>9</v>
      </c>
      <c r="J504" s="73" t="s">
        <v>946</v>
      </c>
      <c r="K504" s="1" t="s">
        <v>800</v>
      </c>
    </row>
    <row r="505" spans="1:11">
      <c r="A505" s="26">
        <v>46294</v>
      </c>
      <c r="B505" s="27" t="str">
        <f t="shared" si="44"/>
        <v>火</v>
      </c>
      <c r="C505" s="28" t="s">
        <v>544</v>
      </c>
      <c r="D505" s="28" t="s">
        <v>263</v>
      </c>
      <c r="E505" s="29">
        <v>30</v>
      </c>
      <c r="F505" s="30" t="s">
        <v>538</v>
      </c>
      <c r="G505" s="30" t="s">
        <v>857</v>
      </c>
      <c r="H505" s="31">
        <v>3000</v>
      </c>
      <c r="I505" s="28" t="s">
        <v>9</v>
      </c>
      <c r="J505" s="70" t="s">
        <v>918</v>
      </c>
      <c r="K505" s="1" t="s">
        <v>800</v>
      </c>
    </row>
    <row r="506" spans="1:11">
      <c r="A506" s="26">
        <v>46294</v>
      </c>
      <c r="B506" s="27" t="str">
        <f t="shared" si="44"/>
        <v>火</v>
      </c>
      <c r="C506" s="28" t="s">
        <v>705</v>
      </c>
      <c r="D506" s="28" t="s">
        <v>706</v>
      </c>
      <c r="E506" s="29">
        <v>20</v>
      </c>
      <c r="F506" s="30" t="s">
        <v>13</v>
      </c>
      <c r="G506" s="30" t="s">
        <v>707</v>
      </c>
      <c r="H506" s="31">
        <v>0</v>
      </c>
      <c r="I506" s="28" t="s">
        <v>9</v>
      </c>
      <c r="J506" s="70" t="s">
        <v>919</v>
      </c>
      <c r="K506" s="1" t="s">
        <v>800</v>
      </c>
    </row>
    <row r="507" spans="1:11">
      <c r="A507" s="26">
        <v>46295</v>
      </c>
      <c r="B507" s="27" t="str">
        <f t="shared" si="44"/>
        <v>水</v>
      </c>
      <c r="C507" s="28" t="s">
        <v>551</v>
      </c>
      <c r="D507" s="28" t="s">
        <v>552</v>
      </c>
      <c r="E507" s="29">
        <v>12</v>
      </c>
      <c r="F507" s="30" t="s">
        <v>152</v>
      </c>
      <c r="G507" s="30" t="s">
        <v>939</v>
      </c>
      <c r="H507" s="31">
        <v>2000</v>
      </c>
      <c r="I507" s="28" t="s">
        <v>9</v>
      </c>
      <c r="J507" s="73" t="s">
        <v>947</v>
      </c>
      <c r="K507" s="1" t="s">
        <v>800</v>
      </c>
    </row>
    <row r="508" spans="1:11">
      <c r="A508" s="26">
        <v>46295</v>
      </c>
      <c r="B508" s="27" t="str">
        <f t="shared" ref="B508:B513" si="47">TEXT(A508,"aaa")</f>
        <v>水</v>
      </c>
      <c r="C508" s="28" t="s">
        <v>523</v>
      </c>
      <c r="D508" s="28" t="s">
        <v>151</v>
      </c>
      <c r="E508" s="29">
        <v>80</v>
      </c>
      <c r="F508" s="30" t="s">
        <v>152</v>
      </c>
      <c r="G508" s="30" t="s">
        <v>948</v>
      </c>
      <c r="H508" s="31">
        <v>3000</v>
      </c>
      <c r="I508" s="28" t="s">
        <v>9</v>
      </c>
      <c r="J508" s="73" t="s">
        <v>949</v>
      </c>
      <c r="K508" s="1" t="s">
        <v>800</v>
      </c>
    </row>
    <row r="509" spans="1:11">
      <c r="A509" s="26">
        <v>46296</v>
      </c>
      <c r="B509" s="27" t="str">
        <f t="shared" si="47"/>
        <v>木</v>
      </c>
      <c r="C509" s="28" t="s">
        <v>523</v>
      </c>
      <c r="D509" s="28" t="s">
        <v>706</v>
      </c>
      <c r="E509" s="29">
        <v>70</v>
      </c>
      <c r="F509" s="30" t="s">
        <v>950</v>
      </c>
      <c r="G509" s="30" t="s">
        <v>730</v>
      </c>
      <c r="H509" s="31">
        <v>0</v>
      </c>
      <c r="I509" s="28" t="s">
        <v>9</v>
      </c>
      <c r="J509" s="73" t="s">
        <v>951</v>
      </c>
      <c r="K509" s="1" t="s">
        <v>800</v>
      </c>
    </row>
    <row r="510" spans="1:11">
      <c r="A510" s="26">
        <v>46297</v>
      </c>
      <c r="B510" s="27" t="str">
        <f t="shared" si="47"/>
        <v>金</v>
      </c>
      <c r="C510" s="28" t="s">
        <v>351</v>
      </c>
      <c r="D510" s="28" t="s">
        <v>446</v>
      </c>
      <c r="E510" s="29">
        <v>50</v>
      </c>
      <c r="F510" s="30" t="s">
        <v>13</v>
      </c>
      <c r="G510" s="30" t="s">
        <v>14</v>
      </c>
      <c r="H510" s="31">
        <v>3000</v>
      </c>
      <c r="I510" s="28" t="s">
        <v>9</v>
      </c>
      <c r="J510" s="73" t="s">
        <v>952</v>
      </c>
      <c r="K510" s="1" t="s">
        <v>800</v>
      </c>
    </row>
    <row r="511" spans="1:11">
      <c r="A511" s="26">
        <v>46301</v>
      </c>
      <c r="B511" s="27" t="str">
        <f t="shared" ref="B511" si="48">TEXT(A511,"aaa")</f>
        <v>火</v>
      </c>
      <c r="C511" s="28" t="s">
        <v>627</v>
      </c>
      <c r="D511" s="28" t="s">
        <v>446</v>
      </c>
      <c r="E511" s="29">
        <v>50</v>
      </c>
      <c r="F511" s="30" t="s">
        <v>447</v>
      </c>
      <c r="G511" s="30" t="s">
        <v>48</v>
      </c>
      <c r="H511" s="33">
        <v>3000</v>
      </c>
      <c r="I511" s="28" t="s">
        <v>11</v>
      </c>
      <c r="J511" s="73" t="s">
        <v>953</v>
      </c>
      <c r="K511" s="1" t="s">
        <v>800</v>
      </c>
    </row>
    <row r="512" spans="1:11">
      <c r="A512" s="26">
        <v>46301</v>
      </c>
      <c r="B512" s="27" t="str">
        <f t="shared" si="47"/>
        <v>火</v>
      </c>
      <c r="C512" s="28" t="s">
        <v>523</v>
      </c>
      <c r="D512" s="28" t="s">
        <v>954</v>
      </c>
      <c r="E512" s="29">
        <v>70</v>
      </c>
      <c r="F512" s="30" t="s">
        <v>13</v>
      </c>
      <c r="G512" s="30" t="s">
        <v>730</v>
      </c>
      <c r="H512" s="31">
        <v>0</v>
      </c>
      <c r="I512" s="28" t="s">
        <v>9</v>
      </c>
      <c r="J512" s="73" t="s">
        <v>955</v>
      </c>
      <c r="K512" s="1" t="s">
        <v>800</v>
      </c>
    </row>
    <row r="513" spans="1:11">
      <c r="A513" s="26">
        <v>46301</v>
      </c>
      <c r="B513" s="27" t="str">
        <f t="shared" si="47"/>
        <v>火</v>
      </c>
      <c r="C513" s="28" t="s">
        <v>523</v>
      </c>
      <c r="D513" s="28" t="s">
        <v>24</v>
      </c>
      <c r="E513" s="29">
        <v>50</v>
      </c>
      <c r="F513" s="30" t="s">
        <v>26</v>
      </c>
      <c r="G513" s="30" t="s">
        <v>105</v>
      </c>
      <c r="H513" s="31">
        <v>0</v>
      </c>
      <c r="I513" s="28" t="s">
        <v>9</v>
      </c>
      <c r="J513" s="73" t="s">
        <v>956</v>
      </c>
      <c r="K513" s="1" t="s">
        <v>800</v>
      </c>
    </row>
    <row r="514" spans="1:11" ht="18.45">
      <c r="A514" s="26">
        <v>46301</v>
      </c>
      <c r="B514" s="27" t="str">
        <f>TEXT(A514,"aaa")</f>
        <v>火</v>
      </c>
      <c r="C514" s="3" t="s">
        <v>412</v>
      </c>
      <c r="D514" s="3" t="s">
        <v>469</v>
      </c>
      <c r="E514" s="12"/>
      <c r="F514" s="13" t="s">
        <v>608</v>
      </c>
      <c r="G514" s="13" t="s">
        <v>609</v>
      </c>
      <c r="H514" s="14">
        <v>0</v>
      </c>
      <c r="I514" s="3" t="s">
        <v>31</v>
      </c>
      <c r="J514" s="6" t="s">
        <v>32</v>
      </c>
      <c r="K514" s="1" t="s">
        <v>800</v>
      </c>
    </row>
    <row r="515" spans="1:11">
      <c r="A515" s="26">
        <v>46302</v>
      </c>
      <c r="B515" s="27" t="str">
        <f>TEXT(A515,"aaa")</f>
        <v>水</v>
      </c>
      <c r="C515" s="28" t="s">
        <v>336</v>
      </c>
      <c r="D515" s="28" t="s">
        <v>446</v>
      </c>
      <c r="E515" s="29">
        <v>25</v>
      </c>
      <c r="F515" s="30" t="s">
        <v>152</v>
      </c>
      <c r="G515" s="30" t="s">
        <v>957</v>
      </c>
      <c r="H515" s="31">
        <v>2000</v>
      </c>
      <c r="I515" s="28" t="s">
        <v>9</v>
      </c>
      <c r="J515" s="73" t="s">
        <v>958</v>
      </c>
      <c r="K515" s="1" t="s">
        <v>800</v>
      </c>
    </row>
    <row r="516" spans="1:11">
      <c r="A516" s="26">
        <v>46302</v>
      </c>
      <c r="B516" s="27" t="str">
        <f t="shared" ref="B516" si="49">TEXT(A516,"aaa")</f>
        <v>水</v>
      </c>
      <c r="C516" s="28" t="s">
        <v>336</v>
      </c>
      <c r="D516" s="28" t="s">
        <v>148</v>
      </c>
      <c r="E516" s="29">
        <v>30</v>
      </c>
      <c r="F516" s="30" t="s">
        <v>842</v>
      </c>
      <c r="G516" s="30" t="s">
        <v>147</v>
      </c>
      <c r="H516" s="31">
        <v>0</v>
      </c>
      <c r="I516" s="28" t="s">
        <v>9</v>
      </c>
      <c r="J516" s="73" t="s">
        <v>959</v>
      </c>
      <c r="K516" s="1" t="s">
        <v>800</v>
      </c>
    </row>
    <row r="517" spans="1:11">
      <c r="A517" s="26">
        <v>46302</v>
      </c>
      <c r="B517" s="27" t="str">
        <f>TEXT(A517,"aaa")</f>
        <v>水</v>
      </c>
      <c r="C517" s="28" t="s">
        <v>396</v>
      </c>
      <c r="D517" s="28" t="s">
        <v>251</v>
      </c>
      <c r="E517" s="29">
        <v>30</v>
      </c>
      <c r="F517" s="30" t="s">
        <v>634</v>
      </c>
      <c r="G517" s="30" t="s">
        <v>48</v>
      </c>
      <c r="H517" s="31">
        <v>3000</v>
      </c>
      <c r="I517" s="28" t="s">
        <v>11</v>
      </c>
      <c r="J517" s="73" t="s">
        <v>960</v>
      </c>
      <c r="K517" s="1" t="s">
        <v>800</v>
      </c>
    </row>
    <row r="518" spans="1:11">
      <c r="A518" s="26">
        <v>46302</v>
      </c>
      <c r="B518" s="27" t="str">
        <f t="shared" ref="B518" si="50">TEXT(A518,"aaa")</f>
        <v>水</v>
      </c>
      <c r="C518" s="28" t="s">
        <v>507</v>
      </c>
      <c r="D518" s="28" t="s">
        <v>428</v>
      </c>
      <c r="E518" s="29">
        <v>50</v>
      </c>
      <c r="F518" s="30" t="s">
        <v>13</v>
      </c>
      <c r="G518" s="30" t="s">
        <v>961</v>
      </c>
      <c r="H518" s="31">
        <v>1000</v>
      </c>
      <c r="I518" s="28" t="s">
        <v>9</v>
      </c>
      <c r="J518" s="73" t="s">
        <v>962</v>
      </c>
      <c r="K518" s="1" t="s">
        <v>800</v>
      </c>
    </row>
    <row r="519" spans="1:11">
      <c r="A519" s="26">
        <v>46302</v>
      </c>
      <c r="B519" s="27" t="str">
        <f>TEXT(A519,"aaa")</f>
        <v>水</v>
      </c>
      <c r="C519" s="28" t="s">
        <v>507</v>
      </c>
      <c r="D519" s="28" t="s">
        <v>151</v>
      </c>
      <c r="E519" s="29">
        <v>30</v>
      </c>
      <c r="F519" s="30" t="s">
        <v>963</v>
      </c>
      <c r="G519" s="30" t="s">
        <v>857</v>
      </c>
      <c r="H519" s="31">
        <v>3000</v>
      </c>
      <c r="I519" s="28" t="s">
        <v>9</v>
      </c>
      <c r="J519" s="73" t="s">
        <v>964</v>
      </c>
      <c r="K519" s="1" t="s">
        <v>800</v>
      </c>
    </row>
    <row r="520" spans="1:11">
      <c r="A520" s="26">
        <v>46303</v>
      </c>
      <c r="B520" s="27" t="str">
        <f t="shared" ref="B520" si="51">TEXT(A520,"aaa")</f>
        <v>木</v>
      </c>
      <c r="C520" s="28" t="s">
        <v>331</v>
      </c>
      <c r="D520" s="28" t="s">
        <v>935</v>
      </c>
      <c r="E520" s="29">
        <v>15</v>
      </c>
      <c r="F520" s="30" t="s">
        <v>965</v>
      </c>
      <c r="G520" s="30" t="s">
        <v>929</v>
      </c>
      <c r="H520" s="31">
        <v>3000</v>
      </c>
      <c r="I520" s="28" t="s">
        <v>9</v>
      </c>
      <c r="J520" s="73" t="s">
        <v>966</v>
      </c>
      <c r="K520" s="1" t="s">
        <v>800</v>
      </c>
    </row>
    <row r="521" spans="1:11">
      <c r="A521" s="26">
        <v>46303</v>
      </c>
      <c r="B521" s="27" t="str">
        <f>TEXT(A521,"aaa")</f>
        <v>木</v>
      </c>
      <c r="C521" s="28" t="s">
        <v>712</v>
      </c>
      <c r="D521" s="28" t="s">
        <v>24</v>
      </c>
      <c r="E521" s="29">
        <v>20</v>
      </c>
      <c r="F521" s="30" t="s">
        <v>402</v>
      </c>
      <c r="G521" s="30" t="s">
        <v>875</v>
      </c>
      <c r="H521" s="31">
        <v>0</v>
      </c>
      <c r="I521" s="28" t="s">
        <v>9</v>
      </c>
      <c r="J521" s="73" t="s">
        <v>967</v>
      </c>
      <c r="K521" s="1" t="s">
        <v>800</v>
      </c>
    </row>
    <row r="522" spans="1:11">
      <c r="A522" s="26">
        <v>46303</v>
      </c>
      <c r="B522" s="27" t="str">
        <f t="shared" ref="B522" si="52">TEXT(A522,"aaa")</f>
        <v>木</v>
      </c>
      <c r="C522" s="28" t="s">
        <v>336</v>
      </c>
      <c r="D522" s="28" t="s">
        <v>968</v>
      </c>
      <c r="E522" s="29">
        <v>50</v>
      </c>
      <c r="F522" s="30" t="s">
        <v>15</v>
      </c>
      <c r="G522" s="30" t="s">
        <v>64</v>
      </c>
      <c r="H522" s="31">
        <v>3000</v>
      </c>
      <c r="I522" s="28" t="s">
        <v>9</v>
      </c>
      <c r="J522" s="73" t="s">
        <v>969</v>
      </c>
      <c r="K522" s="1" t="s">
        <v>800</v>
      </c>
    </row>
    <row r="523" spans="1:11">
      <c r="A523" s="26">
        <v>46303</v>
      </c>
      <c r="B523" s="27" t="str">
        <f>TEXT(A523,"aaa")</f>
        <v>木</v>
      </c>
      <c r="C523" s="28" t="s">
        <v>523</v>
      </c>
      <c r="D523" s="28" t="s">
        <v>446</v>
      </c>
      <c r="E523" s="29">
        <v>70</v>
      </c>
      <c r="F523" s="30" t="s">
        <v>970</v>
      </c>
      <c r="G523" s="30" t="s">
        <v>971</v>
      </c>
      <c r="H523" s="31">
        <v>0</v>
      </c>
      <c r="I523" s="28" t="s">
        <v>9</v>
      </c>
      <c r="J523" s="73" t="s">
        <v>972</v>
      </c>
      <c r="K523" s="1" t="s">
        <v>800</v>
      </c>
    </row>
    <row r="524" spans="1:11">
      <c r="A524" s="26">
        <v>46303</v>
      </c>
      <c r="B524" s="27" t="str">
        <f t="shared" ref="B524:B530" si="53">TEXT(A524,"aaa")</f>
        <v>木</v>
      </c>
      <c r="C524" s="28" t="s">
        <v>412</v>
      </c>
      <c r="D524" s="28" t="s">
        <v>718</v>
      </c>
      <c r="E524" s="29"/>
      <c r="F524" s="30" t="s">
        <v>608</v>
      </c>
      <c r="G524" s="30" t="s">
        <v>609</v>
      </c>
      <c r="H524" s="31">
        <v>0</v>
      </c>
      <c r="I524" s="28" t="s">
        <v>31</v>
      </c>
      <c r="J524" s="73" t="s">
        <v>32</v>
      </c>
      <c r="K524" s="1" t="s">
        <v>800</v>
      </c>
    </row>
    <row r="525" spans="1:11">
      <c r="A525" s="26">
        <v>46304</v>
      </c>
      <c r="B525" s="27" t="str">
        <f t="shared" ref="B525:B527" si="54">TEXT(A525,"aaa")</f>
        <v>金</v>
      </c>
      <c r="C525" s="28" t="s">
        <v>973</v>
      </c>
      <c r="D525" s="28" t="s">
        <v>24</v>
      </c>
      <c r="E525" s="29">
        <v>45</v>
      </c>
      <c r="F525" s="30" t="s">
        <v>152</v>
      </c>
      <c r="G525" s="30" t="s">
        <v>974</v>
      </c>
      <c r="H525" s="31">
        <v>0</v>
      </c>
      <c r="I525" s="28" t="s">
        <v>9</v>
      </c>
      <c r="J525" s="73" t="s">
        <v>975</v>
      </c>
      <c r="K525" s="1" t="s">
        <v>800</v>
      </c>
    </row>
    <row r="526" spans="1:11">
      <c r="A526" s="26">
        <v>46304</v>
      </c>
      <c r="B526" s="27" t="str">
        <f t="shared" ref="B526" si="55">TEXT(A526,"aaa")</f>
        <v>金</v>
      </c>
      <c r="C526" s="28" t="s">
        <v>449</v>
      </c>
      <c r="D526" s="28" t="s">
        <v>151</v>
      </c>
      <c r="E526" s="29">
        <v>50</v>
      </c>
      <c r="F526" s="30" t="s">
        <v>976</v>
      </c>
      <c r="G526" s="30" t="s">
        <v>977</v>
      </c>
      <c r="H526" s="31">
        <v>0</v>
      </c>
      <c r="I526" s="28" t="s">
        <v>9</v>
      </c>
      <c r="J526" s="73" t="s">
        <v>978</v>
      </c>
      <c r="K526" s="1" t="s">
        <v>800</v>
      </c>
    </row>
    <row r="527" spans="1:11">
      <c r="A527" s="26">
        <v>46304</v>
      </c>
      <c r="B527" s="27" t="str">
        <f t="shared" si="54"/>
        <v>金</v>
      </c>
      <c r="C527" s="28" t="s">
        <v>391</v>
      </c>
      <c r="D527" s="28" t="s">
        <v>24</v>
      </c>
      <c r="E527" s="29">
        <v>60</v>
      </c>
      <c r="F527" s="30" t="s">
        <v>13</v>
      </c>
      <c r="G527" s="30" t="s">
        <v>930</v>
      </c>
      <c r="H527" s="31">
        <v>0</v>
      </c>
      <c r="I527" s="28" t="s">
        <v>9</v>
      </c>
      <c r="J527" s="73" t="s">
        <v>979</v>
      </c>
      <c r="K527" s="1" t="s">
        <v>800</v>
      </c>
    </row>
    <row r="528" spans="1:11">
      <c r="A528" s="26">
        <v>46304</v>
      </c>
      <c r="B528" s="27" t="str">
        <f t="shared" si="53"/>
        <v>金</v>
      </c>
      <c r="C528" s="28" t="s">
        <v>440</v>
      </c>
      <c r="D528" s="28" t="s">
        <v>446</v>
      </c>
      <c r="E528" s="29">
        <v>30</v>
      </c>
      <c r="F528" s="30" t="s">
        <v>980</v>
      </c>
      <c r="G528" s="30" t="s">
        <v>981</v>
      </c>
      <c r="H528" s="31">
        <v>2000</v>
      </c>
      <c r="I528" s="28" t="s">
        <v>9</v>
      </c>
      <c r="J528" s="73" t="s">
        <v>982</v>
      </c>
      <c r="K528" s="1" t="s">
        <v>800</v>
      </c>
    </row>
    <row r="529" spans="1:11">
      <c r="A529" s="26">
        <v>46305</v>
      </c>
      <c r="B529" s="27" t="str">
        <f t="shared" si="53"/>
        <v>土</v>
      </c>
      <c r="C529" s="28" t="s">
        <v>983</v>
      </c>
      <c r="D529" s="28" t="s">
        <v>24</v>
      </c>
      <c r="E529" s="29">
        <v>15</v>
      </c>
      <c r="F529" s="28" t="s">
        <v>986</v>
      </c>
      <c r="G529" s="30" t="s">
        <v>984</v>
      </c>
      <c r="H529" s="31">
        <v>3000</v>
      </c>
      <c r="I529" s="28" t="s">
        <v>9</v>
      </c>
      <c r="J529" s="73" t="s">
        <v>985</v>
      </c>
      <c r="K529" s="1" t="s">
        <v>800</v>
      </c>
    </row>
    <row r="530" spans="1:11">
      <c r="A530" s="26">
        <v>46308</v>
      </c>
      <c r="B530" s="27" t="str">
        <f t="shared" si="53"/>
        <v>火</v>
      </c>
      <c r="C530" s="28" t="s">
        <v>523</v>
      </c>
      <c r="D530" s="28" t="s">
        <v>263</v>
      </c>
      <c r="E530" s="29">
        <v>30</v>
      </c>
      <c r="F530" s="28" t="s">
        <v>538</v>
      </c>
      <c r="G530" s="30" t="s">
        <v>857</v>
      </c>
      <c r="H530" s="31">
        <v>3000</v>
      </c>
      <c r="I530" s="28" t="s">
        <v>9</v>
      </c>
      <c r="J530" s="73" t="s">
        <v>987</v>
      </c>
      <c r="K530" s="1" t="s">
        <v>800</v>
      </c>
    </row>
    <row r="531" spans="1:11">
      <c r="A531" s="26">
        <v>46308</v>
      </c>
      <c r="B531" s="27" t="str">
        <f t="shared" ref="B531:B581" si="56">TEXT(A531,"aaa")</f>
        <v>火</v>
      </c>
      <c r="C531" s="28" t="s">
        <v>705</v>
      </c>
      <c r="D531" s="28" t="s">
        <v>706</v>
      </c>
      <c r="E531" s="29">
        <v>30</v>
      </c>
      <c r="F531" s="30" t="s">
        <v>13</v>
      </c>
      <c r="G531" s="30" t="s">
        <v>707</v>
      </c>
      <c r="H531" s="31">
        <v>0</v>
      </c>
      <c r="I531" s="28" t="s">
        <v>9</v>
      </c>
      <c r="J531" s="70" t="s">
        <v>920</v>
      </c>
      <c r="K531" s="1" t="s">
        <v>800</v>
      </c>
    </row>
    <row r="532" spans="1:11">
      <c r="A532" s="26">
        <v>46309</v>
      </c>
      <c r="B532" s="27" t="str">
        <f t="shared" ref="B532" si="57">TEXT(A532,"aaa")</f>
        <v>水</v>
      </c>
      <c r="C532" s="28" t="s">
        <v>449</v>
      </c>
      <c r="D532" s="28" t="s">
        <v>988</v>
      </c>
      <c r="E532" s="29">
        <v>80</v>
      </c>
      <c r="F532" s="28" t="s">
        <v>989</v>
      </c>
      <c r="G532" s="30" t="s">
        <v>990</v>
      </c>
      <c r="H532" s="31">
        <v>1000</v>
      </c>
      <c r="I532" s="28" t="s">
        <v>9</v>
      </c>
      <c r="J532" s="73" t="s">
        <v>991</v>
      </c>
      <c r="K532" s="1" t="s">
        <v>800</v>
      </c>
    </row>
    <row r="533" spans="1:11">
      <c r="A533" s="26">
        <v>46309</v>
      </c>
      <c r="B533" s="27" t="str">
        <f t="shared" si="56"/>
        <v>水</v>
      </c>
      <c r="C533" s="28" t="s">
        <v>921</v>
      </c>
      <c r="D533" s="28" t="s">
        <v>87</v>
      </c>
      <c r="E533" s="29">
        <v>40</v>
      </c>
      <c r="F533" s="30" t="s">
        <v>922</v>
      </c>
      <c r="G533" s="30" t="s">
        <v>923</v>
      </c>
      <c r="H533" s="33">
        <v>1500</v>
      </c>
      <c r="I533" s="28" t="s">
        <v>9</v>
      </c>
      <c r="J533" s="70" t="s">
        <v>924</v>
      </c>
      <c r="K533" s="1" t="s">
        <v>800</v>
      </c>
    </row>
    <row r="534" spans="1:11">
      <c r="A534" s="26">
        <v>46309</v>
      </c>
      <c r="B534" s="27" t="str">
        <f t="shared" ref="B534" si="58">TEXT(A534,"aaa")</f>
        <v>水</v>
      </c>
      <c r="C534" s="28" t="s">
        <v>610</v>
      </c>
      <c r="D534" s="28" t="s">
        <v>335</v>
      </c>
      <c r="E534" s="29">
        <v>30</v>
      </c>
      <c r="F534" s="28" t="s">
        <v>34</v>
      </c>
      <c r="G534" s="30" t="s">
        <v>35</v>
      </c>
      <c r="H534" s="31">
        <v>0</v>
      </c>
      <c r="I534" s="28" t="s">
        <v>11</v>
      </c>
      <c r="J534" s="73" t="s">
        <v>36</v>
      </c>
      <c r="K534" s="1" t="s">
        <v>800</v>
      </c>
    </row>
    <row r="535" spans="1:11">
      <c r="A535" s="26">
        <v>46309</v>
      </c>
      <c r="B535" s="27" t="str">
        <f t="shared" si="56"/>
        <v>水</v>
      </c>
      <c r="C535" s="28" t="s">
        <v>382</v>
      </c>
      <c r="D535" s="28" t="s">
        <v>285</v>
      </c>
      <c r="E535" s="29">
        <v>50</v>
      </c>
      <c r="F535" s="28" t="s">
        <v>13</v>
      </c>
      <c r="G535" s="30" t="s">
        <v>383</v>
      </c>
      <c r="H535" s="31">
        <v>1000</v>
      </c>
      <c r="I535" s="28" t="s">
        <v>9</v>
      </c>
      <c r="J535" s="73" t="s">
        <v>992</v>
      </c>
      <c r="K535" s="1" t="s">
        <v>800</v>
      </c>
    </row>
    <row r="536" spans="1:11">
      <c r="A536" s="26">
        <v>46309</v>
      </c>
      <c r="B536" s="27" t="str">
        <f t="shared" ref="B536:B545" si="59">TEXT(A536,"aaa")</f>
        <v>水</v>
      </c>
      <c r="C536" s="28" t="s">
        <v>412</v>
      </c>
      <c r="D536" s="28" t="s">
        <v>446</v>
      </c>
      <c r="E536" s="29"/>
      <c r="F536" s="28" t="s">
        <v>608</v>
      </c>
      <c r="G536" s="30" t="s">
        <v>609</v>
      </c>
      <c r="H536" s="31">
        <v>0</v>
      </c>
      <c r="I536" s="28" t="s">
        <v>31</v>
      </c>
      <c r="J536" s="73" t="s">
        <v>32</v>
      </c>
      <c r="K536" s="1" t="s">
        <v>800</v>
      </c>
    </row>
    <row r="537" spans="1:11">
      <c r="A537" s="26">
        <v>46309</v>
      </c>
      <c r="B537" s="27" t="str">
        <f t="shared" si="59"/>
        <v>水</v>
      </c>
      <c r="C537" s="28" t="s">
        <v>507</v>
      </c>
      <c r="D537" s="28" t="s">
        <v>148</v>
      </c>
      <c r="E537" s="29">
        <v>20</v>
      </c>
      <c r="F537" s="28" t="s">
        <v>842</v>
      </c>
      <c r="G537" s="30" t="s">
        <v>844</v>
      </c>
      <c r="H537" s="31">
        <v>0</v>
      </c>
      <c r="I537" s="28" t="s">
        <v>9</v>
      </c>
      <c r="J537" s="73" t="s">
        <v>993</v>
      </c>
      <c r="K537" s="1" t="s">
        <v>800</v>
      </c>
    </row>
    <row r="538" spans="1:11">
      <c r="A538" s="26">
        <v>46310</v>
      </c>
      <c r="B538" s="27" t="str">
        <f t="shared" si="59"/>
        <v>木</v>
      </c>
      <c r="C538" s="28" t="s">
        <v>422</v>
      </c>
      <c r="D538" s="28" t="s">
        <v>87</v>
      </c>
      <c r="E538" s="29">
        <v>65</v>
      </c>
      <c r="F538" s="28" t="s">
        <v>402</v>
      </c>
      <c r="G538" s="30" t="s">
        <v>998</v>
      </c>
      <c r="H538" s="31">
        <v>0</v>
      </c>
      <c r="I538" s="28" t="s">
        <v>9</v>
      </c>
      <c r="J538" s="73" t="s">
        <v>994</v>
      </c>
      <c r="K538" s="1" t="s">
        <v>800</v>
      </c>
    </row>
    <row r="539" spans="1:11">
      <c r="A539" s="26">
        <v>46310</v>
      </c>
      <c r="B539" s="27" t="str">
        <f t="shared" ref="B539" si="60">TEXT(A539,"aaa")</f>
        <v>木</v>
      </c>
      <c r="C539" s="28" t="s">
        <v>336</v>
      </c>
      <c r="D539" s="28" t="s">
        <v>446</v>
      </c>
      <c r="E539" s="29">
        <v>50</v>
      </c>
      <c r="F539" s="28" t="s">
        <v>152</v>
      </c>
      <c r="G539" s="30" t="s">
        <v>14</v>
      </c>
      <c r="H539" s="31">
        <v>3000</v>
      </c>
      <c r="I539" s="28" t="s">
        <v>9</v>
      </c>
      <c r="J539" s="73" t="s">
        <v>995</v>
      </c>
      <c r="K539" s="1" t="s">
        <v>800</v>
      </c>
    </row>
    <row r="540" spans="1:11">
      <c r="A540" s="26">
        <v>46310</v>
      </c>
      <c r="B540" s="27" t="str">
        <f t="shared" si="59"/>
        <v>木</v>
      </c>
      <c r="C540" s="28" t="s">
        <v>523</v>
      </c>
      <c r="D540" s="28" t="s">
        <v>514</v>
      </c>
      <c r="E540" s="29">
        <v>70</v>
      </c>
      <c r="F540" s="28" t="s">
        <v>152</v>
      </c>
      <c r="G540" s="30" t="s">
        <v>996</v>
      </c>
      <c r="H540" s="31">
        <v>0</v>
      </c>
      <c r="I540" s="28" t="s">
        <v>9</v>
      </c>
      <c r="J540" s="73" t="s">
        <v>997</v>
      </c>
      <c r="K540" s="1" t="s">
        <v>800</v>
      </c>
    </row>
    <row r="541" spans="1:11">
      <c r="A541" s="26">
        <v>46310</v>
      </c>
      <c r="B541" s="27" t="str">
        <f t="shared" ref="B541:B544" si="61">TEXT(A541,"aaa")</f>
        <v>木</v>
      </c>
      <c r="C541" s="28" t="s">
        <v>787</v>
      </c>
      <c r="D541" s="28" t="s">
        <v>24</v>
      </c>
      <c r="E541" s="29">
        <v>85</v>
      </c>
      <c r="F541" s="28" t="s">
        <v>34</v>
      </c>
      <c r="G541" s="30" t="s">
        <v>35</v>
      </c>
      <c r="H541" s="31">
        <v>0</v>
      </c>
      <c r="I541" s="28" t="s">
        <v>11</v>
      </c>
      <c r="J541" s="73" t="s">
        <v>36</v>
      </c>
      <c r="K541" s="1" t="s">
        <v>800</v>
      </c>
    </row>
    <row r="542" spans="1:11">
      <c r="A542" s="26">
        <v>46312</v>
      </c>
      <c r="B542" s="27" t="str">
        <f t="shared" si="61"/>
        <v>土</v>
      </c>
      <c r="C542" s="28" t="s">
        <v>412</v>
      </c>
      <c r="D542" s="28" t="s">
        <v>186</v>
      </c>
      <c r="E542" s="29"/>
      <c r="F542" s="30" t="s">
        <v>608</v>
      </c>
      <c r="G542" s="30" t="s">
        <v>609</v>
      </c>
      <c r="H542" s="31">
        <v>0</v>
      </c>
      <c r="I542" s="28" t="s">
        <v>31</v>
      </c>
      <c r="J542" s="73" t="s">
        <v>32</v>
      </c>
      <c r="K542" s="1" t="s">
        <v>800</v>
      </c>
    </row>
    <row r="543" spans="1:11">
      <c r="A543" s="26">
        <v>46313</v>
      </c>
      <c r="B543" s="27" t="str">
        <f t="shared" ref="B543" si="62">TEXT(A543,"aaa")</f>
        <v>日</v>
      </c>
      <c r="C543" s="28" t="s">
        <v>412</v>
      </c>
      <c r="D543" s="28" t="s">
        <v>558</v>
      </c>
      <c r="E543" s="29"/>
      <c r="F543" s="30" t="s">
        <v>608</v>
      </c>
      <c r="G543" s="30" t="s">
        <v>609</v>
      </c>
      <c r="H543" s="31">
        <v>0</v>
      </c>
      <c r="I543" s="28" t="s">
        <v>31</v>
      </c>
      <c r="J543" s="73" t="s">
        <v>32</v>
      </c>
      <c r="K543" s="1" t="s">
        <v>800</v>
      </c>
    </row>
    <row r="544" spans="1:11">
      <c r="A544" s="26">
        <v>46314</v>
      </c>
      <c r="B544" s="27" t="str">
        <f t="shared" si="61"/>
        <v>月</v>
      </c>
      <c r="C544" s="28" t="s">
        <v>412</v>
      </c>
      <c r="D544" s="28" t="s">
        <v>354</v>
      </c>
      <c r="E544" s="29"/>
      <c r="F544" s="30" t="s">
        <v>608</v>
      </c>
      <c r="G544" s="30" t="s">
        <v>609</v>
      </c>
      <c r="H544" s="31">
        <v>0</v>
      </c>
      <c r="I544" s="28" t="s">
        <v>31</v>
      </c>
      <c r="J544" s="73" t="s">
        <v>32</v>
      </c>
      <c r="K544" s="1" t="s">
        <v>800</v>
      </c>
    </row>
    <row r="545" spans="1:11">
      <c r="A545" s="26">
        <v>46314</v>
      </c>
      <c r="B545" s="27" t="str">
        <f t="shared" si="59"/>
        <v>月</v>
      </c>
      <c r="C545" s="28" t="s">
        <v>999</v>
      </c>
      <c r="D545" s="28" t="s">
        <v>428</v>
      </c>
      <c r="E545" s="29">
        <v>30</v>
      </c>
      <c r="F545" s="28" t="s">
        <v>1000</v>
      </c>
      <c r="G545" s="30"/>
      <c r="H545" s="31">
        <v>3000</v>
      </c>
      <c r="I545" s="28" t="s">
        <v>9</v>
      </c>
      <c r="J545" s="73" t="s">
        <v>1001</v>
      </c>
      <c r="K545" s="1" t="s">
        <v>800</v>
      </c>
    </row>
    <row r="546" spans="1:11">
      <c r="A546" s="26">
        <v>46315</v>
      </c>
      <c r="B546" s="27" t="str">
        <f t="shared" si="56"/>
        <v>火</v>
      </c>
      <c r="C546" s="28" t="s">
        <v>627</v>
      </c>
      <c r="D546" s="28" t="s">
        <v>748</v>
      </c>
      <c r="E546" s="29">
        <v>70</v>
      </c>
      <c r="F546" s="28" t="s">
        <v>447</v>
      </c>
      <c r="G546" s="30" t="s">
        <v>48</v>
      </c>
      <c r="H546" s="33">
        <v>3000</v>
      </c>
      <c r="I546" s="28" t="s">
        <v>11</v>
      </c>
      <c r="J546" s="73" t="s">
        <v>1002</v>
      </c>
      <c r="K546" s="1" t="s">
        <v>800</v>
      </c>
    </row>
    <row r="547" spans="1:11">
      <c r="A547" s="26">
        <v>46315</v>
      </c>
      <c r="B547" s="27" t="str">
        <f t="shared" si="56"/>
        <v>火</v>
      </c>
      <c r="C547" s="28" t="s">
        <v>848</v>
      </c>
      <c r="D547" s="28" t="s">
        <v>24</v>
      </c>
      <c r="E547" s="29">
        <v>50</v>
      </c>
      <c r="F547" s="30" t="s">
        <v>377</v>
      </c>
      <c r="G547" s="30" t="s">
        <v>14</v>
      </c>
      <c r="H547" s="31">
        <v>3000</v>
      </c>
      <c r="I547" s="28" t="s">
        <v>11</v>
      </c>
      <c r="J547" s="73" t="s">
        <v>687</v>
      </c>
      <c r="K547" s="1" t="s">
        <v>800</v>
      </c>
    </row>
    <row r="548" spans="1:11">
      <c r="A548" s="26">
        <v>46315</v>
      </c>
      <c r="B548" s="27" t="str">
        <f t="shared" ref="B548" si="63">TEXT(A548,"aaa")</f>
        <v>火</v>
      </c>
      <c r="C548" s="28" t="s">
        <v>408</v>
      </c>
      <c r="D548" s="28" t="s">
        <v>306</v>
      </c>
      <c r="E548" s="29">
        <v>200</v>
      </c>
      <c r="F548" s="28" t="s">
        <v>25</v>
      </c>
      <c r="G548" s="30" t="s">
        <v>641</v>
      </c>
      <c r="H548" s="33">
        <v>0</v>
      </c>
      <c r="I548" s="28" t="s">
        <v>9</v>
      </c>
      <c r="J548" s="73" t="s">
        <v>1003</v>
      </c>
      <c r="K548" s="1" t="s">
        <v>800</v>
      </c>
    </row>
    <row r="549" spans="1:11">
      <c r="A549" s="26">
        <v>46316</v>
      </c>
      <c r="B549" s="27" t="str">
        <f t="shared" si="56"/>
        <v>水</v>
      </c>
      <c r="C549" s="28" t="s">
        <v>351</v>
      </c>
      <c r="D549" s="28" t="s">
        <v>155</v>
      </c>
      <c r="E549" s="29">
        <v>30</v>
      </c>
      <c r="F549" s="28" t="s">
        <v>20</v>
      </c>
      <c r="G549" s="30" t="s">
        <v>156</v>
      </c>
      <c r="H549" s="33">
        <v>3000</v>
      </c>
      <c r="I549" s="28" t="s">
        <v>9</v>
      </c>
      <c r="J549" s="73" t="s">
        <v>1004</v>
      </c>
      <c r="K549" s="1" t="s">
        <v>800</v>
      </c>
    </row>
    <row r="550" spans="1:11">
      <c r="A550" s="26">
        <v>46316</v>
      </c>
      <c r="B550" s="27" t="str">
        <f t="shared" ref="B550" si="64">TEXT(A550,"aaa")</f>
        <v>水</v>
      </c>
      <c r="C550" s="28" t="s">
        <v>336</v>
      </c>
      <c r="D550" s="28" t="s">
        <v>148</v>
      </c>
      <c r="E550" s="29">
        <v>30</v>
      </c>
      <c r="F550" s="28" t="s">
        <v>842</v>
      </c>
      <c r="G550" s="30" t="s">
        <v>147</v>
      </c>
      <c r="H550" s="33">
        <v>0</v>
      </c>
      <c r="I550" s="28" t="s">
        <v>9</v>
      </c>
      <c r="J550" s="73" t="s">
        <v>1005</v>
      </c>
      <c r="K550" s="1" t="s">
        <v>800</v>
      </c>
    </row>
    <row r="551" spans="1:11">
      <c r="A551" s="26">
        <v>46316</v>
      </c>
      <c r="B551" s="27" t="str">
        <f t="shared" si="56"/>
        <v>水</v>
      </c>
      <c r="C551" s="28" t="s">
        <v>336</v>
      </c>
      <c r="D551" s="28" t="s">
        <v>151</v>
      </c>
      <c r="E551" s="29">
        <v>45</v>
      </c>
      <c r="F551" s="28" t="s">
        <v>538</v>
      </c>
      <c r="G551" s="30" t="s">
        <v>64</v>
      </c>
      <c r="H551" s="33">
        <v>3000</v>
      </c>
      <c r="I551" s="28" t="s">
        <v>9</v>
      </c>
      <c r="J551" s="73" t="s">
        <v>1006</v>
      </c>
      <c r="K551" s="1" t="s">
        <v>800</v>
      </c>
    </row>
    <row r="552" spans="1:11">
      <c r="A552" s="26">
        <v>46316</v>
      </c>
      <c r="B552" s="27" t="str">
        <f t="shared" si="56"/>
        <v>水</v>
      </c>
      <c r="C552" s="28" t="s">
        <v>523</v>
      </c>
      <c r="D552" s="28" t="s">
        <v>24</v>
      </c>
      <c r="E552" s="29">
        <v>70</v>
      </c>
      <c r="F552" s="28" t="s">
        <v>970</v>
      </c>
      <c r="G552" s="30" t="s">
        <v>730</v>
      </c>
      <c r="H552" s="33">
        <v>0</v>
      </c>
      <c r="I552" s="28" t="s">
        <v>9</v>
      </c>
      <c r="J552" s="73" t="s">
        <v>1007</v>
      </c>
      <c r="K552" s="1" t="s">
        <v>800</v>
      </c>
    </row>
    <row r="553" spans="1:11">
      <c r="A553" s="26">
        <v>46317</v>
      </c>
      <c r="B553" s="27" t="str">
        <f t="shared" ref="B553" si="65">TEXT(A553,"aaa")</f>
        <v>木</v>
      </c>
      <c r="C553" s="28" t="s">
        <v>351</v>
      </c>
      <c r="D553" s="28" t="s">
        <v>446</v>
      </c>
      <c r="E553" s="29">
        <v>30</v>
      </c>
      <c r="F553" s="28" t="s">
        <v>267</v>
      </c>
      <c r="G553" s="30" t="s">
        <v>1008</v>
      </c>
      <c r="H553" s="33">
        <v>3000</v>
      </c>
      <c r="I553" s="28" t="s">
        <v>9</v>
      </c>
      <c r="J553" s="73" t="s">
        <v>1009</v>
      </c>
      <c r="K553" s="1" t="s">
        <v>800</v>
      </c>
    </row>
    <row r="554" spans="1:11">
      <c r="A554" s="26">
        <v>46317</v>
      </c>
      <c r="B554" s="27" t="str">
        <f t="shared" si="56"/>
        <v>木</v>
      </c>
      <c r="C554" s="28" t="s">
        <v>712</v>
      </c>
      <c r="D554" s="28" t="s">
        <v>24</v>
      </c>
      <c r="E554" s="29">
        <v>20</v>
      </c>
      <c r="F554" s="28" t="s">
        <v>402</v>
      </c>
      <c r="G554" s="30" t="s">
        <v>1010</v>
      </c>
      <c r="H554" s="33">
        <v>0</v>
      </c>
      <c r="I554" s="28" t="s">
        <v>9</v>
      </c>
      <c r="J554" s="73" t="s">
        <v>1011</v>
      </c>
      <c r="K554" s="1" t="s">
        <v>800</v>
      </c>
    </row>
    <row r="555" spans="1:11">
      <c r="A555" s="26">
        <v>46317</v>
      </c>
      <c r="B555" s="27" t="str">
        <f t="shared" ref="B555" si="66">TEXT(A555,"aaa")</f>
        <v>木</v>
      </c>
      <c r="C555" s="28" t="s">
        <v>341</v>
      </c>
      <c r="D555" s="28" t="s">
        <v>24</v>
      </c>
      <c r="E555" s="29">
        <v>50</v>
      </c>
      <c r="F555" s="28" t="s">
        <v>1012</v>
      </c>
      <c r="G555" s="30" t="s">
        <v>342</v>
      </c>
      <c r="H555" s="33">
        <v>0</v>
      </c>
      <c r="I555" s="28" t="s">
        <v>9</v>
      </c>
      <c r="J555" s="73" t="s">
        <v>1013</v>
      </c>
      <c r="K555" s="1" t="s">
        <v>800</v>
      </c>
    </row>
    <row r="556" spans="1:11">
      <c r="A556" s="26">
        <v>46317</v>
      </c>
      <c r="B556" s="27" t="str">
        <f t="shared" si="56"/>
        <v>木</v>
      </c>
      <c r="C556" s="28" t="s">
        <v>523</v>
      </c>
      <c r="D556" s="28" t="s">
        <v>24</v>
      </c>
      <c r="E556" s="29">
        <v>60</v>
      </c>
      <c r="F556" s="28" t="s">
        <v>970</v>
      </c>
      <c r="G556" s="30" t="s">
        <v>730</v>
      </c>
      <c r="H556" s="33">
        <v>0</v>
      </c>
      <c r="I556" s="28" t="s">
        <v>9</v>
      </c>
      <c r="J556" s="73" t="s">
        <v>1014</v>
      </c>
      <c r="K556" s="1" t="s">
        <v>800</v>
      </c>
    </row>
    <row r="557" spans="1:11">
      <c r="A557" s="26">
        <v>46317</v>
      </c>
      <c r="B557" s="27" t="str">
        <f t="shared" ref="B557" si="67">TEXT(A557,"aaa")</f>
        <v>木</v>
      </c>
      <c r="C557" s="28" t="s">
        <v>507</v>
      </c>
      <c r="D557" s="28" t="s">
        <v>151</v>
      </c>
      <c r="E557" s="29">
        <v>30</v>
      </c>
      <c r="F557" s="28" t="s">
        <v>1015</v>
      </c>
      <c r="G557" s="30" t="s">
        <v>525</v>
      </c>
      <c r="H557" s="33">
        <v>3000</v>
      </c>
      <c r="I557" s="28" t="s">
        <v>9</v>
      </c>
      <c r="J557" s="73" t="s">
        <v>1016</v>
      </c>
      <c r="K557" s="1" t="s">
        <v>800</v>
      </c>
    </row>
    <row r="558" spans="1:11">
      <c r="A558" s="26">
        <v>46317</v>
      </c>
      <c r="B558" s="27" t="str">
        <f t="shared" si="56"/>
        <v>木</v>
      </c>
      <c r="C558" s="38" t="s">
        <v>925</v>
      </c>
      <c r="D558" s="38" t="s">
        <v>211</v>
      </c>
      <c r="E558" s="39">
        <v>30</v>
      </c>
      <c r="F558" s="40" t="s">
        <v>565</v>
      </c>
      <c r="G558" s="40" t="s">
        <v>640</v>
      </c>
      <c r="H558" s="32">
        <v>3000</v>
      </c>
      <c r="I558" s="38" t="s">
        <v>193</v>
      </c>
      <c r="J558" s="70" t="s">
        <v>926</v>
      </c>
      <c r="K558" s="1" t="s">
        <v>800</v>
      </c>
    </row>
    <row r="559" spans="1:11">
      <c r="A559" s="26">
        <v>46318</v>
      </c>
      <c r="B559" s="27" t="str">
        <f t="shared" si="56"/>
        <v>金</v>
      </c>
      <c r="C559" s="28" t="s">
        <v>453</v>
      </c>
      <c r="D559" s="28" t="s">
        <v>935</v>
      </c>
      <c r="E559" s="29">
        <v>20</v>
      </c>
      <c r="F559" s="28" t="s">
        <v>13</v>
      </c>
      <c r="G559" s="30" t="s">
        <v>929</v>
      </c>
      <c r="H559" s="33">
        <v>2500</v>
      </c>
      <c r="I559" s="28" t="s">
        <v>9</v>
      </c>
      <c r="J559" s="73" t="s">
        <v>1017</v>
      </c>
      <c r="K559" s="1" t="s">
        <v>800</v>
      </c>
    </row>
    <row r="560" spans="1:11">
      <c r="A560" s="26">
        <v>46318</v>
      </c>
      <c r="B560" s="27" t="str">
        <f t="shared" ref="B560:B566" si="68">TEXT(A560,"aaa")</f>
        <v>金</v>
      </c>
      <c r="C560" s="28" t="s">
        <v>676</v>
      </c>
      <c r="D560" s="28" t="s">
        <v>151</v>
      </c>
      <c r="E560" s="29">
        <v>60</v>
      </c>
      <c r="F560" s="28" t="s">
        <v>152</v>
      </c>
      <c r="G560" s="30" t="s">
        <v>1018</v>
      </c>
      <c r="H560" s="33">
        <v>3000</v>
      </c>
      <c r="I560" s="28" t="s">
        <v>9</v>
      </c>
      <c r="J560" s="73" t="s">
        <v>1019</v>
      </c>
      <c r="K560" s="1" t="s">
        <v>800</v>
      </c>
    </row>
    <row r="561" spans="1:12">
      <c r="A561" s="26">
        <v>46318</v>
      </c>
      <c r="B561" s="27" t="str">
        <f t="shared" si="68"/>
        <v>金</v>
      </c>
      <c r="C561" s="28" t="s">
        <v>523</v>
      </c>
      <c r="D561" s="28" t="s">
        <v>24</v>
      </c>
      <c r="E561" s="29">
        <v>70</v>
      </c>
      <c r="F561" s="28" t="s">
        <v>970</v>
      </c>
      <c r="G561" s="30" t="s">
        <v>730</v>
      </c>
      <c r="H561" s="33">
        <v>0</v>
      </c>
      <c r="I561" s="28" t="s">
        <v>9</v>
      </c>
      <c r="J561" s="73" t="s">
        <v>1020</v>
      </c>
      <c r="K561" s="1" t="s">
        <v>800</v>
      </c>
    </row>
    <row r="562" spans="1:12">
      <c r="A562" s="26">
        <v>46322</v>
      </c>
      <c r="B562" s="27" t="str">
        <f t="shared" ref="B562" si="69">TEXT(A562,"aaa")</f>
        <v>火</v>
      </c>
      <c r="C562" s="28" t="s">
        <v>895</v>
      </c>
      <c r="D562" s="28" t="s">
        <v>155</v>
      </c>
      <c r="E562" s="29">
        <v>60</v>
      </c>
      <c r="F562" s="28" t="s">
        <v>1021</v>
      </c>
      <c r="G562" s="30" t="s">
        <v>1026</v>
      </c>
      <c r="H562" s="33">
        <v>3000</v>
      </c>
      <c r="I562" s="28" t="s">
        <v>9</v>
      </c>
      <c r="J562" s="73" t="s">
        <v>1022</v>
      </c>
      <c r="K562" s="1" t="s">
        <v>800</v>
      </c>
    </row>
    <row r="563" spans="1:12">
      <c r="A563" s="26">
        <v>46322</v>
      </c>
      <c r="B563" s="27" t="str">
        <f t="shared" si="68"/>
        <v>火</v>
      </c>
      <c r="C563" s="28" t="s">
        <v>627</v>
      </c>
      <c r="D563" s="28" t="s">
        <v>240</v>
      </c>
      <c r="E563" s="29">
        <v>30</v>
      </c>
      <c r="F563" s="28" t="s">
        <v>465</v>
      </c>
      <c r="G563" s="30" t="s">
        <v>48</v>
      </c>
      <c r="H563" s="33">
        <v>2000</v>
      </c>
      <c r="I563" s="28" t="s">
        <v>11</v>
      </c>
      <c r="J563" s="73" t="s">
        <v>1023</v>
      </c>
      <c r="K563" s="1" t="s">
        <v>800</v>
      </c>
    </row>
    <row r="564" spans="1:12">
      <c r="A564" s="26">
        <v>46322</v>
      </c>
      <c r="B564" s="27" t="str">
        <f t="shared" ref="B564" si="70">TEXT(A564,"aaa")</f>
        <v>火</v>
      </c>
      <c r="C564" s="28" t="s">
        <v>366</v>
      </c>
      <c r="D564" s="28" t="s">
        <v>87</v>
      </c>
      <c r="E564" s="29">
        <v>40</v>
      </c>
      <c r="F564" s="28" t="s">
        <v>152</v>
      </c>
      <c r="G564" s="30" t="s">
        <v>10</v>
      </c>
      <c r="H564" s="33">
        <v>3000</v>
      </c>
      <c r="I564" s="28" t="s">
        <v>11</v>
      </c>
      <c r="J564" s="73" t="s">
        <v>33</v>
      </c>
      <c r="K564" s="1" t="s">
        <v>800</v>
      </c>
    </row>
    <row r="565" spans="1:12">
      <c r="A565" s="26">
        <v>46322</v>
      </c>
      <c r="B565" s="27" t="str">
        <f t="shared" si="68"/>
        <v>火</v>
      </c>
      <c r="C565" s="28" t="s">
        <v>602</v>
      </c>
      <c r="D565" s="28" t="s">
        <v>935</v>
      </c>
      <c r="E565" s="29">
        <v>20</v>
      </c>
      <c r="F565" s="28" t="s">
        <v>1024</v>
      </c>
      <c r="G565" s="30" t="s">
        <v>929</v>
      </c>
      <c r="H565" s="33">
        <v>2500</v>
      </c>
      <c r="I565" s="28" t="s">
        <v>9</v>
      </c>
      <c r="J565" s="73" t="s">
        <v>1025</v>
      </c>
      <c r="K565" s="1" t="s">
        <v>800</v>
      </c>
    </row>
    <row r="566" spans="1:12">
      <c r="A566" s="26">
        <v>46322</v>
      </c>
      <c r="B566" s="27" t="str">
        <f t="shared" si="68"/>
        <v>火</v>
      </c>
      <c r="C566" s="28" t="s">
        <v>523</v>
      </c>
      <c r="D566" s="28" t="s">
        <v>263</v>
      </c>
      <c r="E566" s="29">
        <v>30</v>
      </c>
      <c r="F566" s="28" t="s">
        <v>538</v>
      </c>
      <c r="G566" s="30" t="s">
        <v>857</v>
      </c>
      <c r="H566" s="33">
        <v>3000</v>
      </c>
      <c r="I566" s="28" t="s">
        <v>9</v>
      </c>
      <c r="J566" s="73" t="s">
        <v>987</v>
      </c>
      <c r="K566" s="1" t="s">
        <v>800</v>
      </c>
    </row>
    <row r="567" spans="1:12">
      <c r="A567" s="26">
        <v>46324</v>
      </c>
      <c r="B567" s="27" t="str">
        <f t="shared" si="56"/>
        <v>木</v>
      </c>
      <c r="C567" s="28" t="s">
        <v>366</v>
      </c>
      <c r="D567" s="28" t="s">
        <v>748</v>
      </c>
      <c r="E567" s="29">
        <v>40</v>
      </c>
      <c r="F567" s="28" t="s">
        <v>152</v>
      </c>
      <c r="G567" s="30" t="s">
        <v>10</v>
      </c>
      <c r="H567" s="33">
        <v>3000</v>
      </c>
      <c r="I567" s="28" t="s">
        <v>11</v>
      </c>
      <c r="J567" s="73" t="s">
        <v>33</v>
      </c>
      <c r="K567" s="1" t="s">
        <v>800</v>
      </c>
    </row>
    <row r="568" spans="1:12">
      <c r="A568" s="26">
        <v>46324</v>
      </c>
      <c r="B568" s="27" t="str">
        <f t="shared" si="56"/>
        <v>木</v>
      </c>
      <c r="C568" s="28" t="s">
        <v>705</v>
      </c>
      <c r="D568" s="28" t="s">
        <v>706</v>
      </c>
      <c r="E568" s="29">
        <v>30</v>
      </c>
      <c r="F568" s="30" t="s">
        <v>13</v>
      </c>
      <c r="G568" s="30" t="s">
        <v>707</v>
      </c>
      <c r="H568" s="31">
        <v>0</v>
      </c>
      <c r="I568" s="28" t="s">
        <v>9</v>
      </c>
      <c r="J568" s="70" t="s">
        <v>927</v>
      </c>
      <c r="K568" s="1" t="s">
        <v>800</v>
      </c>
      <c r="L568" s="1" t="s">
        <v>690</v>
      </c>
    </row>
    <row r="569" spans="1:12">
      <c r="A569" s="44">
        <v>46331</v>
      </c>
      <c r="B569" s="45" t="str">
        <f t="shared" si="56"/>
        <v>木</v>
      </c>
      <c r="C569" s="66" t="s">
        <v>627</v>
      </c>
      <c r="D569" s="66" t="s">
        <v>446</v>
      </c>
      <c r="E569" s="67">
        <v>50</v>
      </c>
      <c r="F569" s="68" t="s">
        <v>447</v>
      </c>
      <c r="G569" s="68" t="s">
        <v>48</v>
      </c>
      <c r="H569" s="77">
        <v>3000</v>
      </c>
      <c r="I569" s="66" t="s">
        <v>11</v>
      </c>
      <c r="J569" s="69" t="s">
        <v>1027</v>
      </c>
      <c r="K569" s="1" t="str">
        <f t="shared" ref="K569:K589" si="71">TEXT(A569,"yyyy-mm-dd")&amp;" "&amp;LEFT(C569,5)&amp;":00"</f>
        <v>2026-11-05 16:00:00</v>
      </c>
      <c r="L569" s="1" t="str">
        <f t="shared" ref="L569:L589" si="72">" (NULL, '"&amp;K569&amp;"', "&amp;IF(G569="","NULL","'"&amp;G569&amp;"'")&amp;", '"&amp;F569&amp;"', NULL, '"&amp;D569&amp;"', NULL, '"&amp;H569&amp;"', "&amp;IF(E569="","NULL","'"&amp;E569&amp;"'")&amp;", NOW(), NOW()),"</f>
        <v xml:space="preserve"> (NULL, '2026-11-05 16:00:00', 'zetto', 'SES交流会 ', NULL, '新宿', NULL, '3000', '50', NOW(), NOW()),</v>
      </c>
    </row>
    <row r="570" spans="1:12" ht="18.45">
      <c r="A570" s="44">
        <v>46332</v>
      </c>
      <c r="B570" s="45" t="str">
        <f t="shared" si="56"/>
        <v>金</v>
      </c>
      <c r="C570" s="57"/>
      <c r="D570" s="57"/>
      <c r="E570" s="58"/>
      <c r="F570" s="59"/>
      <c r="G570" s="59"/>
      <c r="H570" s="60"/>
      <c r="I570" s="57"/>
      <c r="J570" s="61"/>
      <c r="K570" s="1" t="str">
        <f t="shared" si="71"/>
        <v>2026-11-06 :00</v>
      </c>
      <c r="L570" s="1" t="str">
        <f t="shared" si="72"/>
        <v xml:space="preserve"> (NULL, '2026-11-06 :00', NULL, '', NULL, '', NULL, '', NULL, NOW(), NOW()),</v>
      </c>
    </row>
    <row r="571" spans="1:12" ht="18.45">
      <c r="A571" s="44">
        <v>46333</v>
      </c>
      <c r="B571" s="45" t="str">
        <f t="shared" si="56"/>
        <v>土</v>
      </c>
      <c r="C571" s="57"/>
      <c r="D571" s="57"/>
      <c r="E571" s="58"/>
      <c r="F571" s="59"/>
      <c r="G571" s="59"/>
      <c r="H571" s="60"/>
      <c r="I571" s="57"/>
      <c r="J571" s="61"/>
      <c r="K571" s="1" t="str">
        <f t="shared" si="71"/>
        <v>2026-11-07 :00</v>
      </c>
      <c r="L571" s="1" t="str">
        <f t="shared" si="72"/>
        <v xml:space="preserve"> (NULL, '2026-11-07 :00', NULL, '', NULL, '', NULL, '', NULL, NOW(), NOW()),</v>
      </c>
    </row>
    <row r="572" spans="1:12" ht="18.45">
      <c r="A572" s="44">
        <v>46334</v>
      </c>
      <c r="B572" s="45" t="str">
        <f t="shared" si="56"/>
        <v>日</v>
      </c>
      <c r="C572" s="57"/>
      <c r="D572" s="57"/>
      <c r="E572" s="58"/>
      <c r="F572" s="59"/>
      <c r="G572" s="59"/>
      <c r="H572" s="60"/>
      <c r="I572" s="57"/>
      <c r="J572" s="61"/>
      <c r="K572" s="1" t="str">
        <f t="shared" si="71"/>
        <v>2026-11-08 :00</v>
      </c>
      <c r="L572" s="1" t="str">
        <f t="shared" si="72"/>
        <v xml:space="preserve"> (NULL, '2026-11-08 :00', NULL, '', NULL, '', NULL, '', NULL, NOW(), NOW()),</v>
      </c>
    </row>
    <row r="573" spans="1:12" ht="18.45">
      <c r="A573" s="44">
        <v>46335</v>
      </c>
      <c r="B573" s="45" t="str">
        <f t="shared" si="56"/>
        <v>月</v>
      </c>
      <c r="C573" s="57"/>
      <c r="D573" s="57"/>
      <c r="E573" s="58"/>
      <c r="F573" s="59"/>
      <c r="G573" s="59"/>
      <c r="H573" s="60"/>
      <c r="I573" s="57"/>
      <c r="J573" s="61"/>
      <c r="K573" s="1" t="str">
        <f t="shared" si="71"/>
        <v>2026-11-09 :00</v>
      </c>
      <c r="L573" s="1" t="str">
        <f t="shared" si="72"/>
        <v xml:space="preserve"> (NULL, '2026-11-09 :00', NULL, '', NULL, '', NULL, '', NULL, NOW(), NOW()),</v>
      </c>
    </row>
    <row r="574" spans="1:12" ht="18.45">
      <c r="A574" s="44">
        <v>46336</v>
      </c>
      <c r="B574" s="45" t="str">
        <f t="shared" si="56"/>
        <v>火</v>
      </c>
      <c r="C574" s="57" t="s">
        <v>648</v>
      </c>
      <c r="D574" s="57" t="s">
        <v>446</v>
      </c>
      <c r="E574" s="58">
        <v>300</v>
      </c>
      <c r="F574" s="59" t="s">
        <v>13</v>
      </c>
      <c r="G574" s="59" t="s">
        <v>1028</v>
      </c>
      <c r="H574" s="60">
        <v>2000</v>
      </c>
      <c r="I574" s="57" t="s">
        <v>9</v>
      </c>
      <c r="J574" s="61" t="s">
        <v>1029</v>
      </c>
      <c r="K574" s="1" t="str">
        <f t="shared" si="71"/>
        <v>2026-11-10 17:45:00</v>
      </c>
      <c r="L574" s="1" t="str">
        <f t="shared" si="72"/>
        <v xml:space="preserve"> (NULL, '2026-11-10 17:45:00', '株式会社LEGAREA', 'SES交流会', NULL, '新宿', NULL, '2000', '300', NOW(), NOW()),</v>
      </c>
    </row>
    <row r="575" spans="1:12" ht="18.45">
      <c r="A575" s="44">
        <v>46337</v>
      </c>
      <c r="B575" s="45" t="str">
        <f t="shared" si="56"/>
        <v>水</v>
      </c>
      <c r="C575" s="57" t="s">
        <v>490</v>
      </c>
      <c r="D575" s="57" t="s">
        <v>241</v>
      </c>
      <c r="E575" s="58">
        <v>200</v>
      </c>
      <c r="F575" s="59" t="s">
        <v>41</v>
      </c>
      <c r="G575" s="59" t="s">
        <v>260</v>
      </c>
      <c r="H575" s="60">
        <v>0</v>
      </c>
      <c r="I575" s="57" t="s">
        <v>9</v>
      </c>
      <c r="J575" s="61" t="s">
        <v>1030</v>
      </c>
      <c r="K575" s="1" t="str">
        <f t="shared" si="71"/>
        <v>2026-11-11 14:00:00</v>
      </c>
      <c r="L575" s="1" t="str">
        <f t="shared" si="72"/>
        <v xml:space="preserve"> (NULL, '2026-11-11 14:00:00', '株式会社KOKORO', 'SES/IT業界向け情報交換会', NULL, '蒲田', NULL, '0', '200', NOW(), NOW()),</v>
      </c>
    </row>
    <row r="576" spans="1:12" ht="18.45">
      <c r="A576" s="44">
        <v>46337</v>
      </c>
      <c r="B576" s="45" t="str">
        <f t="shared" si="56"/>
        <v>水</v>
      </c>
      <c r="C576" s="57" t="s">
        <v>396</v>
      </c>
      <c r="D576" s="57" t="s">
        <v>251</v>
      </c>
      <c r="E576" s="58">
        <v>30</v>
      </c>
      <c r="F576" s="59" t="s">
        <v>634</v>
      </c>
      <c r="G576" s="59" t="s">
        <v>48</v>
      </c>
      <c r="H576" s="60">
        <v>3000</v>
      </c>
      <c r="I576" s="57" t="s">
        <v>11</v>
      </c>
      <c r="J576" s="61" t="s">
        <v>1031</v>
      </c>
      <c r="K576" s="1" t="str">
        <f t="shared" si="71"/>
        <v>2026-11-11 19:00:00</v>
      </c>
      <c r="L576" s="1" t="str">
        <f t="shared" si="72"/>
        <v xml:space="preserve"> (NULL, '2026-11-11 19:00:00', 'zetto', 'SES×BUSINESS×フットサル交流会', NULL, '東陽町', NULL, '3000', '30', NOW(), NOW()),</v>
      </c>
    </row>
    <row r="577" spans="1:12" ht="18.45">
      <c r="A577" s="44">
        <v>46338</v>
      </c>
      <c r="B577" s="45" t="str">
        <f t="shared" si="56"/>
        <v>木</v>
      </c>
      <c r="C577" s="57" t="s">
        <v>785</v>
      </c>
      <c r="D577" s="57" t="s">
        <v>155</v>
      </c>
      <c r="E577" s="58">
        <v>120</v>
      </c>
      <c r="F577" s="59" t="s">
        <v>34</v>
      </c>
      <c r="G577" s="59"/>
      <c r="H577" s="60">
        <v>2000</v>
      </c>
      <c r="I577" s="57" t="s">
        <v>9</v>
      </c>
      <c r="J577" s="61" t="s">
        <v>1032</v>
      </c>
      <c r="K577" s="1" t="str">
        <f t="shared" si="71"/>
        <v>2026-11-12 14:30:00</v>
      </c>
      <c r="L577" s="1" t="str">
        <f t="shared" si="72"/>
        <v xml:space="preserve"> (NULL, '2026-11-12 14:30:00', NULL, 'SES/IT業界向け 情報交換会', NULL, '池袋', NULL, '2000', '120', NOW(), NOW()),</v>
      </c>
    </row>
    <row r="578" spans="1:12" ht="18.45">
      <c r="A578" s="44">
        <v>46338</v>
      </c>
      <c r="B578" s="45" t="str">
        <f t="shared" si="56"/>
        <v>木</v>
      </c>
      <c r="C578" s="57" t="s">
        <v>627</v>
      </c>
      <c r="D578" s="57" t="s">
        <v>87</v>
      </c>
      <c r="E578" s="58">
        <v>30</v>
      </c>
      <c r="F578" s="59" t="s">
        <v>465</v>
      </c>
      <c r="G578" s="59" t="s">
        <v>48</v>
      </c>
      <c r="H578" s="78">
        <v>3000</v>
      </c>
      <c r="I578" s="57" t="s">
        <v>11</v>
      </c>
      <c r="J578" s="61" t="s">
        <v>1033</v>
      </c>
      <c r="K578" s="1" t="str">
        <f t="shared" si="71"/>
        <v>2026-11-12 16:00:00</v>
      </c>
      <c r="L578" s="1" t="str">
        <f t="shared" si="72"/>
        <v xml:space="preserve"> (NULL, '2026-11-12 16:00:00', 'zetto', 'SES/IT交流会 ', NULL, '横浜', NULL, '3000', '30', NOW(), NOW()),</v>
      </c>
    </row>
    <row r="579" spans="1:12" ht="18.45">
      <c r="A579" s="44">
        <v>46339</v>
      </c>
      <c r="B579" s="45" t="str">
        <f t="shared" si="56"/>
        <v>金</v>
      </c>
      <c r="C579" s="57"/>
      <c r="D579" s="57"/>
      <c r="E579" s="58"/>
      <c r="F579" s="59"/>
      <c r="G579" s="59"/>
      <c r="H579" s="60"/>
      <c r="I579" s="57"/>
      <c r="J579" s="61"/>
      <c r="K579" s="1" t="str">
        <f t="shared" si="71"/>
        <v>2026-11-13 :00</v>
      </c>
      <c r="L579" s="1" t="str">
        <f t="shared" si="72"/>
        <v xml:space="preserve"> (NULL, '2026-11-13 :00', NULL, '', NULL, '', NULL, '', NULL, NOW(), NOW()),</v>
      </c>
    </row>
    <row r="580" spans="1:12" ht="18.45">
      <c r="A580" s="44">
        <v>46340</v>
      </c>
      <c r="B580" s="45" t="str">
        <f t="shared" si="56"/>
        <v>土</v>
      </c>
      <c r="C580" s="57"/>
      <c r="D580" s="57"/>
      <c r="E580" s="58"/>
      <c r="F580" s="59"/>
      <c r="G580" s="59"/>
      <c r="H580" s="60"/>
      <c r="I580" s="57"/>
      <c r="J580" s="61"/>
      <c r="K580" s="1" t="str">
        <f t="shared" si="71"/>
        <v>2026-11-14 :00</v>
      </c>
      <c r="L580" s="1" t="str">
        <f t="shared" si="72"/>
        <v xml:space="preserve"> (NULL, '2026-11-14 :00', NULL, '', NULL, '', NULL, '', NULL, NOW(), NOW()),</v>
      </c>
    </row>
    <row r="581" spans="1:12" ht="18.45">
      <c r="A581" s="44">
        <v>46341</v>
      </c>
      <c r="B581" s="45" t="str">
        <f t="shared" si="56"/>
        <v>日</v>
      </c>
      <c r="C581" s="57"/>
      <c r="D581" s="57"/>
      <c r="E581" s="58"/>
      <c r="F581" s="59"/>
      <c r="G581" s="59"/>
      <c r="H581" s="60"/>
      <c r="I581" s="57"/>
      <c r="J581" s="61"/>
      <c r="K581" s="1" t="str">
        <f t="shared" si="71"/>
        <v>2026-11-15 :00</v>
      </c>
      <c r="L581" s="1" t="str">
        <f t="shared" si="72"/>
        <v xml:space="preserve"> (NULL, '2026-11-15 :00', NULL, '', NULL, '', NULL, '', NULL, NOW(), NOW()),</v>
      </c>
    </row>
    <row r="582" spans="1:12" ht="18.45">
      <c r="A582" s="44">
        <v>46342</v>
      </c>
      <c r="B582" s="45" t="str">
        <f t="shared" ref="B582:B589" si="73">TEXT(A582,"aaa")</f>
        <v>月</v>
      </c>
      <c r="C582" s="57"/>
      <c r="D582" s="57"/>
      <c r="E582" s="58"/>
      <c r="F582" s="59"/>
      <c r="G582" s="59"/>
      <c r="H582" s="60"/>
      <c r="I582" s="57"/>
      <c r="J582" s="61"/>
      <c r="K582" s="1" t="str">
        <f t="shared" si="71"/>
        <v>2026-11-16 :00</v>
      </c>
      <c r="L582" s="1" t="str">
        <f t="shared" si="72"/>
        <v xml:space="preserve"> (NULL, '2026-11-16 :00', NULL, '', NULL, '', NULL, '', NULL, NOW(), NOW()),</v>
      </c>
    </row>
    <row r="583" spans="1:12" ht="18.45">
      <c r="A583" s="44">
        <v>46343</v>
      </c>
      <c r="B583" s="45" t="str">
        <f t="shared" si="73"/>
        <v>火</v>
      </c>
      <c r="C583" s="57"/>
      <c r="D583" s="57"/>
      <c r="E583" s="58"/>
      <c r="F583" s="59"/>
      <c r="G583" s="59"/>
      <c r="H583" s="60"/>
      <c r="I583" s="57"/>
      <c r="J583" s="61"/>
      <c r="K583" s="1" t="str">
        <f t="shared" si="71"/>
        <v>2026-11-17 :00</v>
      </c>
      <c r="L583" s="1" t="str">
        <f t="shared" si="72"/>
        <v xml:space="preserve"> (NULL, '2026-11-17 :00', NULL, '', NULL, '', NULL, '', NULL, NOW(), NOW()),</v>
      </c>
    </row>
    <row r="584" spans="1:12" ht="18.45">
      <c r="A584" s="44">
        <v>46344</v>
      </c>
      <c r="B584" s="45" t="str">
        <f t="shared" si="73"/>
        <v>水</v>
      </c>
      <c r="C584" s="57" t="s">
        <v>412</v>
      </c>
      <c r="D584" s="57" t="s">
        <v>558</v>
      </c>
      <c r="E584" s="58"/>
      <c r="F584" s="59" t="s">
        <v>51</v>
      </c>
      <c r="G584" s="59" t="s">
        <v>30</v>
      </c>
      <c r="H584" s="60">
        <v>0</v>
      </c>
      <c r="I584" s="57" t="s">
        <v>31</v>
      </c>
      <c r="J584" s="61" t="s">
        <v>32</v>
      </c>
      <c r="K584" s="1" t="str">
        <f t="shared" si="71"/>
        <v>2026-11-18 18:50:00</v>
      </c>
      <c r="L584" s="1" t="str">
        <f t="shared" si="72"/>
        <v xml:space="preserve"> (NULL, '2026-11-18 18:50:00', '株式会社ベルナー', 'ITビジネス交流会', NULL, '名古屋', NULL, '0', NULL, NOW(), NOW()),</v>
      </c>
    </row>
    <row r="585" spans="1:12" ht="18.45">
      <c r="A585" s="44">
        <v>46345</v>
      </c>
      <c r="B585" s="45" t="str">
        <f t="shared" si="73"/>
        <v>木</v>
      </c>
      <c r="C585" s="57" t="s">
        <v>412</v>
      </c>
      <c r="D585" s="57" t="s">
        <v>354</v>
      </c>
      <c r="E585" s="58"/>
      <c r="F585" s="59" t="s">
        <v>51</v>
      </c>
      <c r="G585" s="59" t="s">
        <v>30</v>
      </c>
      <c r="H585" s="60">
        <v>0</v>
      </c>
      <c r="I585" s="57" t="s">
        <v>31</v>
      </c>
      <c r="J585" s="61" t="s">
        <v>32</v>
      </c>
      <c r="K585" s="1" t="str">
        <f t="shared" si="71"/>
        <v>2026-11-19 18:50:00</v>
      </c>
      <c r="L585" s="1" t="str">
        <f t="shared" si="72"/>
        <v xml:space="preserve"> (NULL, '2026-11-19 18:50:00', '株式会社ベルナー', 'ITビジネス交流会', NULL, '新橋', NULL, '0', NULL, NOW(), NOW()),</v>
      </c>
    </row>
    <row r="586" spans="1:12" ht="18.45">
      <c r="A586" s="44">
        <v>46346</v>
      </c>
      <c r="B586" s="45" t="str">
        <f t="shared" si="73"/>
        <v>金</v>
      </c>
      <c r="C586" s="57" t="s">
        <v>656</v>
      </c>
      <c r="D586" s="57" t="s">
        <v>469</v>
      </c>
      <c r="E586" s="58">
        <v>20</v>
      </c>
      <c r="F586" s="59" t="s">
        <v>465</v>
      </c>
      <c r="G586" s="59" t="s">
        <v>48</v>
      </c>
      <c r="H586" s="60">
        <v>3000</v>
      </c>
      <c r="I586" s="57" t="s">
        <v>9</v>
      </c>
      <c r="J586" s="61" t="s">
        <v>1034</v>
      </c>
      <c r="K586" s="1" t="str">
        <f t="shared" si="71"/>
        <v>2026-11-20 18:30:00</v>
      </c>
      <c r="L586" s="1" t="str">
        <f t="shared" si="72"/>
        <v xml:space="preserve"> (NULL, '2026-11-20 18:30:00', 'zetto', 'SES/IT交流会 ', NULL, '札幌', NULL, '3000', '20', NOW(), NOW()),</v>
      </c>
    </row>
    <row r="587" spans="1:12" ht="18.45">
      <c r="A587" s="44">
        <v>46347</v>
      </c>
      <c r="B587" s="45" t="str">
        <f t="shared" si="73"/>
        <v>土</v>
      </c>
      <c r="C587" s="57"/>
      <c r="D587" s="57"/>
      <c r="E587" s="58"/>
      <c r="F587" s="59"/>
      <c r="G587" s="59"/>
      <c r="H587" s="60"/>
      <c r="I587" s="57"/>
      <c r="J587" s="61"/>
      <c r="K587" s="1" t="str">
        <f t="shared" si="71"/>
        <v>2026-11-21 :00</v>
      </c>
      <c r="L587" s="1" t="str">
        <f t="shared" si="72"/>
        <v xml:space="preserve"> (NULL, '2026-11-21 :00', NULL, '', NULL, '', NULL, '', NULL, NOW(), NOW()),</v>
      </c>
    </row>
    <row r="588" spans="1:12" ht="18.45">
      <c r="A588" s="44">
        <v>46348</v>
      </c>
      <c r="B588" s="45" t="str">
        <f t="shared" si="73"/>
        <v>日</v>
      </c>
      <c r="C588" s="57"/>
      <c r="D588" s="57"/>
      <c r="E588" s="58"/>
      <c r="F588" s="59"/>
      <c r="G588" s="59"/>
      <c r="H588" s="60"/>
      <c r="I588" s="57"/>
      <c r="J588" s="61"/>
      <c r="K588" s="1" t="str">
        <f t="shared" si="71"/>
        <v>2026-11-22 :00</v>
      </c>
      <c r="L588" s="1" t="str">
        <f t="shared" si="72"/>
        <v xml:space="preserve"> (NULL, '2026-11-22 :00', NULL, '', NULL, '', NULL, '', NULL, NOW(), NOW()),</v>
      </c>
    </row>
    <row r="589" spans="1:12" ht="18.45">
      <c r="A589" s="44">
        <v>46349</v>
      </c>
      <c r="B589" s="45" t="str">
        <f t="shared" si="73"/>
        <v>月</v>
      </c>
      <c r="C589" s="57"/>
      <c r="D589" s="57"/>
      <c r="E589" s="58"/>
      <c r="F589" s="59"/>
      <c r="G589" s="59"/>
      <c r="H589" s="60"/>
      <c r="I589" s="57"/>
      <c r="J589" s="61"/>
      <c r="K589" s="1" t="str">
        <f t="shared" si="71"/>
        <v>2026-11-23 :00</v>
      </c>
      <c r="L589" s="1" t="str">
        <f t="shared" si="72"/>
        <v xml:space="preserve"> (NULL, '2026-11-23 :00', NULL, '', NULL, '', NULL, '', NULL, NOW(), NOW()),</v>
      </c>
    </row>
    <row r="590" spans="1:12" ht="18.45">
      <c r="A590" s="44">
        <v>46350</v>
      </c>
      <c r="B590" s="45" t="str">
        <f t="shared" ref="B590:B640" si="74">TEXT(A590,"aaa")</f>
        <v>火</v>
      </c>
      <c r="C590" s="57" t="s">
        <v>396</v>
      </c>
      <c r="D590" s="57" t="s">
        <v>428</v>
      </c>
      <c r="E590" s="58">
        <v>120</v>
      </c>
      <c r="F590" s="59" t="s">
        <v>1035</v>
      </c>
      <c r="G590" s="59" t="s">
        <v>429</v>
      </c>
      <c r="H590" s="60">
        <v>5000</v>
      </c>
      <c r="I590" s="57" t="s">
        <v>9</v>
      </c>
      <c r="J590" s="61" t="s">
        <v>1036</v>
      </c>
      <c r="K590" s="1" t="str">
        <f t="shared" ref="K590:K640" si="75">TEXT(A590,"yyyy-mm-dd")&amp;" "&amp;LEFT(C590,5)&amp;":00"</f>
        <v>2026-11-24 19:00:00</v>
      </c>
      <c r="L590" s="1" t="str">
        <f t="shared" ref="L590:L640" si="76">" (NULL, '"&amp;K590&amp;"', "&amp;IF(G590="","NULL","'"&amp;G590&amp;"'")&amp;", '"&amp;F590&amp;"', NULL, '"&amp;D590&amp;"', NULL, '"&amp;H590&amp;"', "&amp;IF(E590="","NULL","'"&amp;E590&amp;"'")&amp;", NOW(), NOW()),"</f>
        <v xml:space="preserve"> (NULL, '2026-11-24 19:00:00', '株式会社シー・エス・エス', '少し早めのIT企業忘年会', NULL, '五反田', NULL, '5000', '120', NOW(), NOW()),</v>
      </c>
    </row>
    <row r="591" spans="1:12" ht="18.45">
      <c r="A591" s="44">
        <v>46351</v>
      </c>
      <c r="B591" s="45" t="str">
        <f t="shared" si="74"/>
        <v>水</v>
      </c>
      <c r="C591" s="57" t="s">
        <v>353</v>
      </c>
      <c r="D591" s="57" t="s">
        <v>558</v>
      </c>
      <c r="E591" s="58">
        <v>50</v>
      </c>
      <c r="F591" s="59" t="s">
        <v>13</v>
      </c>
      <c r="G591" s="59" t="s">
        <v>1037</v>
      </c>
      <c r="H591" s="60">
        <v>0</v>
      </c>
      <c r="I591" s="57" t="s">
        <v>9</v>
      </c>
      <c r="J591" s="61" t="s">
        <v>1038</v>
      </c>
      <c r="K591" s="1" t="str">
        <f t="shared" si="75"/>
        <v>2026-11-25 16:00:00</v>
      </c>
      <c r="L591" s="1" t="str">
        <f t="shared" si="76"/>
        <v xml:space="preserve"> (NULL, '2026-11-25 16:00:00', '株式会社セラク', 'SES交流会', NULL, '名古屋', NULL, '0', '50', NOW(), NOW()),</v>
      </c>
    </row>
    <row r="592" spans="1:12" ht="18.45">
      <c r="A592" s="44">
        <v>46351</v>
      </c>
      <c r="B592" s="45" t="str">
        <f t="shared" si="74"/>
        <v>水</v>
      </c>
      <c r="C592" s="57" t="s">
        <v>627</v>
      </c>
      <c r="D592" s="57" t="s">
        <v>748</v>
      </c>
      <c r="E592" s="58">
        <v>70</v>
      </c>
      <c r="F592" s="59" t="s">
        <v>447</v>
      </c>
      <c r="G592" s="59" t="s">
        <v>48</v>
      </c>
      <c r="H592" s="78">
        <v>3000</v>
      </c>
      <c r="I592" s="57" t="s">
        <v>11</v>
      </c>
      <c r="J592" s="61" t="s">
        <v>1039</v>
      </c>
      <c r="K592" s="1" t="str">
        <f t="shared" si="75"/>
        <v>2026-11-25 16:00:00</v>
      </c>
      <c r="L592" s="1" t="str">
        <f t="shared" si="76"/>
        <v xml:space="preserve"> (NULL, '2026-11-25 16:00:00', 'zetto', 'SES交流会 ', NULL, '秋葉原', NULL, '3000', '70', NOW(), NOW()),</v>
      </c>
    </row>
    <row r="593" spans="1:12" ht="18.45">
      <c r="A593" s="44">
        <v>46352</v>
      </c>
      <c r="B593" s="45" t="str">
        <f t="shared" si="74"/>
        <v>木</v>
      </c>
      <c r="C593" s="57" t="s">
        <v>627</v>
      </c>
      <c r="D593" s="57" t="s">
        <v>558</v>
      </c>
      <c r="E593" s="58">
        <v>30</v>
      </c>
      <c r="F593" s="59" t="s">
        <v>465</v>
      </c>
      <c r="G593" s="59" t="s">
        <v>48</v>
      </c>
      <c r="H593" s="78">
        <v>3000</v>
      </c>
      <c r="I593" s="57" t="s">
        <v>11</v>
      </c>
      <c r="J593" s="61" t="s">
        <v>1040</v>
      </c>
      <c r="K593" s="1" t="str">
        <f t="shared" si="75"/>
        <v>2026-11-26 16:00:00</v>
      </c>
      <c r="L593" s="1" t="str">
        <f t="shared" si="76"/>
        <v xml:space="preserve"> (NULL, '2026-11-26 16:00:00', 'zetto', 'SES/IT交流会 ', NULL, '名古屋', NULL, '3000', '30', NOW(), NOW()),</v>
      </c>
    </row>
    <row r="594" spans="1:12" ht="18.45">
      <c r="A594" s="44">
        <v>46352</v>
      </c>
      <c r="B594" s="45" t="str">
        <f t="shared" si="74"/>
        <v>木</v>
      </c>
      <c r="C594" s="57" t="s">
        <v>366</v>
      </c>
      <c r="D594" s="57" t="s">
        <v>748</v>
      </c>
      <c r="E594" s="58">
        <v>40</v>
      </c>
      <c r="F594" s="59" t="s">
        <v>152</v>
      </c>
      <c r="G594" s="59" t="s">
        <v>10</v>
      </c>
      <c r="H594" s="60">
        <v>3000</v>
      </c>
      <c r="I594" s="57" t="s">
        <v>11</v>
      </c>
      <c r="J594" s="61" t="s">
        <v>33</v>
      </c>
      <c r="K594" s="1" t="str">
        <f t="shared" si="75"/>
        <v>2026-11-26 17:00:00</v>
      </c>
      <c r="L594" s="1" t="str">
        <f t="shared" si="76"/>
        <v xml:space="preserve"> (NULL, '2026-11-26 17:00:00', 'microsyz', 'SES交流会', NULL, '秋葉原', NULL, '3000', '40', NOW(), NOW()),</v>
      </c>
    </row>
    <row r="595" spans="1:12" ht="18.45">
      <c r="A595" s="44">
        <v>46353</v>
      </c>
      <c r="B595" s="45" t="str">
        <f t="shared" si="74"/>
        <v>金</v>
      </c>
      <c r="C595" s="57"/>
      <c r="D595" s="57"/>
      <c r="E595" s="58"/>
      <c r="F595" s="59"/>
      <c r="G595" s="59"/>
      <c r="H595" s="60"/>
      <c r="I595" s="57"/>
      <c r="J595" s="61"/>
      <c r="K595" s="1" t="str">
        <f t="shared" si="75"/>
        <v>2026-11-27 :00</v>
      </c>
      <c r="L595" s="1" t="str">
        <f t="shared" si="76"/>
        <v xml:space="preserve"> (NULL, '2026-11-27 :00', NULL, '', NULL, '', NULL, '', NULL, NOW(), NOW()),</v>
      </c>
    </row>
    <row r="596" spans="1:12" ht="18.45">
      <c r="A596" s="44"/>
      <c r="B596" s="45" t="str">
        <f t="shared" si="74"/>
        <v>土</v>
      </c>
      <c r="C596" s="57"/>
      <c r="D596" s="57"/>
      <c r="E596" s="58"/>
      <c r="F596" s="59"/>
      <c r="G596" s="59"/>
      <c r="H596" s="60"/>
      <c r="I596" s="57"/>
      <c r="J596" s="61"/>
      <c r="K596" s="1" t="str">
        <f t="shared" si="75"/>
        <v>1900-01-00 :00</v>
      </c>
      <c r="L596" s="1" t="str">
        <f t="shared" si="76"/>
        <v xml:space="preserve"> (NULL, '1900-01-00 :00', NULL, '', NULL, '', NULL, '', NULL, NOW(), NOW()),</v>
      </c>
    </row>
    <row r="597" spans="1:12" ht="18.45">
      <c r="A597" s="44"/>
      <c r="B597" s="45" t="str">
        <f t="shared" si="74"/>
        <v>土</v>
      </c>
      <c r="C597" s="57"/>
      <c r="D597" s="57"/>
      <c r="E597" s="58"/>
      <c r="F597" s="59"/>
      <c r="G597" s="59"/>
      <c r="H597" s="60"/>
      <c r="I597" s="57"/>
      <c r="J597" s="61"/>
      <c r="K597" s="1" t="str">
        <f t="shared" si="75"/>
        <v>1900-01-00 :00</v>
      </c>
      <c r="L597" s="1" t="str">
        <f t="shared" si="76"/>
        <v xml:space="preserve"> (NULL, '1900-01-00 :00', NULL, '', NULL, '', NULL, '', NULL, NOW(), NOW()),</v>
      </c>
    </row>
    <row r="598" spans="1:12" ht="18.45">
      <c r="A598" s="44"/>
      <c r="B598" s="45" t="str">
        <f t="shared" si="74"/>
        <v>土</v>
      </c>
      <c r="C598" s="57"/>
      <c r="D598" s="57"/>
      <c r="E598" s="58"/>
      <c r="F598" s="59"/>
      <c r="G598" s="59"/>
      <c r="H598" s="60"/>
      <c r="I598" s="57"/>
      <c r="J598" s="61"/>
      <c r="K598" s="1" t="str">
        <f t="shared" si="75"/>
        <v>1900-01-00 :00</v>
      </c>
      <c r="L598" s="1" t="str">
        <f t="shared" si="76"/>
        <v xml:space="preserve"> (NULL, '1900-01-00 :00', NULL, '', NULL, '', NULL, '', NULL, NOW(), NOW()),</v>
      </c>
    </row>
    <row r="599" spans="1:12" ht="18.45">
      <c r="A599" s="44"/>
      <c r="B599" s="45" t="str">
        <f t="shared" si="74"/>
        <v>土</v>
      </c>
      <c r="C599" s="57"/>
      <c r="D599" s="57"/>
      <c r="E599" s="58"/>
      <c r="F599" s="59"/>
      <c r="G599" s="59"/>
      <c r="H599" s="60"/>
      <c r="I599" s="57"/>
      <c r="J599" s="61"/>
      <c r="K599" s="1" t="str">
        <f t="shared" si="75"/>
        <v>1900-01-00 :00</v>
      </c>
      <c r="L599" s="1" t="str">
        <f t="shared" si="76"/>
        <v xml:space="preserve"> (NULL, '1900-01-00 :00', NULL, '', NULL, '', NULL, '', NULL, NOW(), NOW()),</v>
      </c>
    </row>
    <row r="600" spans="1:12" ht="18.45">
      <c r="A600" s="44"/>
      <c r="B600" s="45" t="str">
        <f t="shared" si="74"/>
        <v>土</v>
      </c>
      <c r="C600" s="57"/>
      <c r="D600" s="57"/>
      <c r="E600" s="58"/>
      <c r="F600" s="59"/>
      <c r="G600" s="59"/>
      <c r="H600" s="60"/>
      <c r="I600" s="57"/>
      <c r="J600" s="61"/>
      <c r="K600" s="1" t="str">
        <f t="shared" si="75"/>
        <v>1900-01-00 :00</v>
      </c>
      <c r="L600" s="1" t="str">
        <f t="shared" si="76"/>
        <v xml:space="preserve"> (NULL, '1900-01-00 :00', NULL, '', NULL, '', NULL, '', NULL, NOW(), NOW()),</v>
      </c>
    </row>
    <row r="601" spans="1:12" ht="18.45">
      <c r="A601" s="44"/>
      <c r="B601" s="45" t="str">
        <f t="shared" si="74"/>
        <v>土</v>
      </c>
      <c r="C601" s="57"/>
      <c r="D601" s="57"/>
      <c r="E601" s="58"/>
      <c r="F601" s="59"/>
      <c r="G601" s="59"/>
      <c r="H601" s="60"/>
      <c r="I601" s="57"/>
      <c r="J601" s="61"/>
      <c r="K601" s="1" t="str">
        <f t="shared" si="75"/>
        <v>1900-01-00 :00</v>
      </c>
      <c r="L601" s="1" t="str">
        <f t="shared" si="76"/>
        <v xml:space="preserve"> (NULL, '1900-01-00 :00', NULL, '', NULL, '', NULL, '', NULL, NOW(), NOW()),</v>
      </c>
    </row>
    <row r="602" spans="1:12" ht="18.45">
      <c r="A602" s="44"/>
      <c r="B602" s="45" t="str">
        <f t="shared" si="74"/>
        <v>土</v>
      </c>
      <c r="C602" s="57"/>
      <c r="D602" s="57"/>
      <c r="E602" s="58"/>
      <c r="F602" s="59"/>
      <c r="G602" s="59"/>
      <c r="H602" s="60"/>
      <c r="I602" s="57"/>
      <c r="J602" s="61"/>
      <c r="K602" s="1" t="str">
        <f t="shared" si="75"/>
        <v>1900-01-00 :00</v>
      </c>
      <c r="L602" s="1" t="str">
        <f t="shared" si="76"/>
        <v xml:space="preserve"> (NULL, '1900-01-00 :00', NULL, '', NULL, '', NULL, '', NULL, NOW(), NOW()),</v>
      </c>
    </row>
    <row r="603" spans="1:12" ht="18.45">
      <c r="A603" s="44"/>
      <c r="B603" s="45" t="str">
        <f t="shared" si="74"/>
        <v>土</v>
      </c>
      <c r="C603" s="57"/>
      <c r="D603" s="57"/>
      <c r="E603" s="58"/>
      <c r="F603" s="59"/>
      <c r="G603" s="59"/>
      <c r="H603" s="60"/>
      <c r="I603" s="57"/>
      <c r="J603" s="61"/>
      <c r="K603" s="1" t="str">
        <f t="shared" si="75"/>
        <v>1900-01-00 :00</v>
      </c>
      <c r="L603" s="1" t="str">
        <f t="shared" si="76"/>
        <v xml:space="preserve"> (NULL, '1900-01-00 :00', NULL, '', NULL, '', NULL, '', NULL, NOW(), NOW()),</v>
      </c>
    </row>
    <row r="604" spans="1:12" ht="18.45">
      <c r="A604" s="44"/>
      <c r="B604" s="45" t="str">
        <f t="shared" si="74"/>
        <v>土</v>
      </c>
      <c r="C604" s="57"/>
      <c r="D604" s="57"/>
      <c r="E604" s="58"/>
      <c r="F604" s="59"/>
      <c r="G604" s="59"/>
      <c r="H604" s="60"/>
      <c r="I604" s="57"/>
      <c r="J604" s="61"/>
      <c r="K604" s="1" t="str">
        <f t="shared" si="75"/>
        <v>1900-01-00 :00</v>
      </c>
      <c r="L604" s="1" t="str">
        <f t="shared" si="76"/>
        <v xml:space="preserve"> (NULL, '1900-01-00 :00', NULL, '', NULL, '', NULL, '', NULL, NOW(), NOW()),</v>
      </c>
    </row>
    <row r="605" spans="1:12" ht="18.45">
      <c r="A605" s="44"/>
      <c r="B605" s="45" t="str">
        <f t="shared" si="74"/>
        <v>土</v>
      </c>
      <c r="C605" s="57"/>
      <c r="D605" s="57"/>
      <c r="E605" s="58"/>
      <c r="F605" s="59"/>
      <c r="G605" s="59"/>
      <c r="H605" s="60"/>
      <c r="I605" s="57"/>
      <c r="J605" s="61"/>
      <c r="K605" s="1" t="str">
        <f t="shared" si="75"/>
        <v>1900-01-00 :00</v>
      </c>
      <c r="L605" s="1" t="str">
        <f t="shared" si="76"/>
        <v xml:space="preserve"> (NULL, '1900-01-00 :00', NULL, '', NULL, '', NULL, '', NULL, NOW(), NOW()),</v>
      </c>
    </row>
    <row r="606" spans="1:12" ht="18.45">
      <c r="A606" s="44"/>
      <c r="B606" s="45" t="str">
        <f t="shared" si="74"/>
        <v>土</v>
      </c>
      <c r="C606" s="57"/>
      <c r="D606" s="57"/>
      <c r="E606" s="58"/>
      <c r="F606" s="59"/>
      <c r="G606" s="59"/>
      <c r="H606" s="60"/>
      <c r="I606" s="57"/>
      <c r="J606" s="61"/>
      <c r="K606" s="1" t="str">
        <f t="shared" si="75"/>
        <v>1900-01-00 :00</v>
      </c>
      <c r="L606" s="1" t="str">
        <f t="shared" si="76"/>
        <v xml:space="preserve"> (NULL, '1900-01-00 :00', NULL, '', NULL, '', NULL, '', NULL, NOW(), NOW()),</v>
      </c>
    </row>
    <row r="607" spans="1:12" ht="18.45">
      <c r="A607" s="44"/>
      <c r="B607" s="45" t="str">
        <f t="shared" si="74"/>
        <v>土</v>
      </c>
      <c r="C607" s="57"/>
      <c r="D607" s="57"/>
      <c r="E607" s="58"/>
      <c r="F607" s="59"/>
      <c r="G607" s="59"/>
      <c r="H607" s="60"/>
      <c r="I607" s="57"/>
      <c r="J607" s="61"/>
      <c r="K607" s="1" t="str">
        <f t="shared" si="75"/>
        <v>1900-01-00 :00</v>
      </c>
      <c r="L607" s="1" t="str">
        <f t="shared" si="76"/>
        <v xml:space="preserve"> (NULL, '1900-01-00 :00', NULL, '', NULL, '', NULL, '', NULL, NOW(), NOW()),</v>
      </c>
    </row>
    <row r="608" spans="1:12" ht="18.45">
      <c r="A608" s="44"/>
      <c r="B608" s="45" t="str">
        <f t="shared" si="74"/>
        <v>土</v>
      </c>
      <c r="C608" s="57"/>
      <c r="D608" s="57"/>
      <c r="E608" s="58"/>
      <c r="F608" s="59"/>
      <c r="G608" s="59"/>
      <c r="H608" s="60"/>
      <c r="I608" s="57"/>
      <c r="J608" s="61"/>
      <c r="K608" s="1" t="str">
        <f t="shared" si="75"/>
        <v>1900-01-00 :00</v>
      </c>
      <c r="L608" s="1" t="str">
        <f t="shared" si="76"/>
        <v xml:space="preserve"> (NULL, '1900-01-00 :00', NULL, '', NULL, '', NULL, '', NULL, NOW(), NOW()),</v>
      </c>
    </row>
    <row r="609" spans="1:12" ht="18.45">
      <c r="A609" s="44"/>
      <c r="B609" s="45" t="str">
        <f t="shared" si="74"/>
        <v>土</v>
      </c>
      <c r="C609" s="57"/>
      <c r="D609" s="57"/>
      <c r="E609" s="58"/>
      <c r="F609" s="59"/>
      <c r="G609" s="59"/>
      <c r="H609" s="60"/>
      <c r="I609" s="57"/>
      <c r="J609" s="61"/>
      <c r="K609" s="1" t="str">
        <f t="shared" si="75"/>
        <v>1900-01-00 :00</v>
      </c>
      <c r="L609" s="1" t="str">
        <f t="shared" si="76"/>
        <v xml:space="preserve"> (NULL, '1900-01-00 :00', NULL, '', NULL, '', NULL, '', NULL, NOW(), NOW()),</v>
      </c>
    </row>
    <row r="610" spans="1:12" ht="18.45">
      <c r="A610" s="44"/>
      <c r="B610" s="45" t="str">
        <f t="shared" si="74"/>
        <v>土</v>
      </c>
      <c r="C610" s="57"/>
      <c r="D610" s="57"/>
      <c r="E610" s="58"/>
      <c r="F610" s="59"/>
      <c r="G610" s="59"/>
      <c r="H610" s="60"/>
      <c r="I610" s="57"/>
      <c r="J610" s="61"/>
      <c r="K610" s="1" t="str">
        <f t="shared" si="75"/>
        <v>1900-01-00 :00</v>
      </c>
      <c r="L610" s="1" t="str">
        <f t="shared" si="76"/>
        <v xml:space="preserve"> (NULL, '1900-01-00 :00', NULL, '', NULL, '', NULL, '', NULL, NOW(), NOW()),</v>
      </c>
    </row>
    <row r="611" spans="1:12" ht="18.45">
      <c r="A611" s="44"/>
      <c r="B611" s="45" t="str">
        <f t="shared" si="74"/>
        <v>土</v>
      </c>
      <c r="C611" s="57"/>
      <c r="D611" s="57"/>
      <c r="E611" s="58"/>
      <c r="F611" s="59"/>
      <c r="G611" s="59"/>
      <c r="H611" s="60"/>
      <c r="I611" s="57"/>
      <c r="J611" s="61"/>
      <c r="K611" s="1" t="str">
        <f t="shared" si="75"/>
        <v>1900-01-00 :00</v>
      </c>
      <c r="L611" s="1" t="str">
        <f t="shared" si="76"/>
        <v xml:space="preserve"> (NULL, '1900-01-00 :00', NULL, '', NULL, '', NULL, '', NULL, NOW(), NOW()),</v>
      </c>
    </row>
    <row r="612" spans="1:12" ht="18.45">
      <c r="A612" s="44"/>
      <c r="B612" s="45" t="str">
        <f t="shared" si="74"/>
        <v>土</v>
      </c>
      <c r="C612" s="57"/>
      <c r="D612" s="57"/>
      <c r="E612" s="58"/>
      <c r="F612" s="59"/>
      <c r="G612" s="59"/>
      <c r="H612" s="60"/>
      <c r="I612" s="57"/>
      <c r="J612" s="61"/>
      <c r="K612" s="1" t="str">
        <f t="shared" si="75"/>
        <v>1900-01-00 :00</v>
      </c>
      <c r="L612" s="1" t="str">
        <f t="shared" si="76"/>
        <v xml:space="preserve"> (NULL, '1900-01-00 :00', NULL, '', NULL, '', NULL, '', NULL, NOW(), NOW()),</v>
      </c>
    </row>
    <row r="613" spans="1:12" ht="18.45">
      <c r="A613" s="44"/>
      <c r="B613" s="45" t="str">
        <f t="shared" si="74"/>
        <v>土</v>
      </c>
      <c r="C613" s="57"/>
      <c r="D613" s="57"/>
      <c r="E613" s="58"/>
      <c r="F613" s="59"/>
      <c r="G613" s="59"/>
      <c r="H613" s="60"/>
      <c r="I613" s="57"/>
      <c r="J613" s="61"/>
      <c r="K613" s="1" t="str">
        <f t="shared" si="75"/>
        <v>1900-01-00 :00</v>
      </c>
      <c r="L613" s="1" t="str">
        <f t="shared" si="76"/>
        <v xml:space="preserve"> (NULL, '1900-01-00 :00', NULL, '', NULL, '', NULL, '', NULL, NOW(), NOW()),</v>
      </c>
    </row>
    <row r="614" spans="1:12" ht="18.45">
      <c r="A614" s="44"/>
      <c r="B614" s="45" t="str">
        <f t="shared" si="74"/>
        <v>土</v>
      </c>
      <c r="C614" s="57"/>
      <c r="D614" s="57"/>
      <c r="E614" s="58"/>
      <c r="F614" s="59"/>
      <c r="G614" s="59"/>
      <c r="H614" s="60"/>
      <c r="I614" s="57"/>
      <c r="J614" s="61"/>
      <c r="K614" s="1" t="str">
        <f t="shared" si="75"/>
        <v>1900-01-00 :00</v>
      </c>
      <c r="L614" s="1" t="str">
        <f t="shared" si="76"/>
        <v xml:space="preserve"> (NULL, '1900-01-00 :00', NULL, '', NULL, '', NULL, '', NULL, NOW(), NOW()),</v>
      </c>
    </row>
    <row r="615" spans="1:12" ht="18.45">
      <c r="A615" s="44"/>
      <c r="B615" s="45" t="str">
        <f t="shared" si="74"/>
        <v>土</v>
      </c>
      <c r="C615" s="57"/>
      <c r="D615" s="57"/>
      <c r="E615" s="58"/>
      <c r="F615" s="59"/>
      <c r="G615" s="59"/>
      <c r="H615" s="60"/>
      <c r="I615" s="57"/>
      <c r="J615" s="61"/>
      <c r="K615" s="1" t="str">
        <f t="shared" si="75"/>
        <v>1900-01-00 :00</v>
      </c>
      <c r="L615" s="1" t="str">
        <f t="shared" si="76"/>
        <v xml:space="preserve"> (NULL, '1900-01-00 :00', NULL, '', NULL, '', NULL, '', NULL, NOW(), NOW()),</v>
      </c>
    </row>
    <row r="616" spans="1:12" ht="18.45">
      <c r="A616" s="44"/>
      <c r="B616" s="45" t="str">
        <f t="shared" si="74"/>
        <v>土</v>
      </c>
      <c r="C616" s="57"/>
      <c r="D616" s="57"/>
      <c r="E616" s="58"/>
      <c r="F616" s="59"/>
      <c r="G616" s="59"/>
      <c r="H616" s="60"/>
      <c r="I616" s="57"/>
      <c r="J616" s="61"/>
      <c r="K616" s="1" t="str">
        <f t="shared" si="75"/>
        <v>1900-01-00 :00</v>
      </c>
      <c r="L616" s="1" t="str">
        <f t="shared" si="76"/>
        <v xml:space="preserve"> (NULL, '1900-01-00 :00', NULL, '', NULL, '', NULL, '', NULL, NOW(), NOW()),</v>
      </c>
    </row>
    <row r="617" spans="1:12" ht="18.45">
      <c r="A617" s="44"/>
      <c r="B617" s="45" t="str">
        <f t="shared" si="74"/>
        <v>土</v>
      </c>
      <c r="C617" s="57"/>
      <c r="D617" s="57"/>
      <c r="E617" s="58"/>
      <c r="F617" s="59"/>
      <c r="G617" s="59"/>
      <c r="H617" s="60"/>
      <c r="I617" s="57"/>
      <c r="J617" s="61"/>
      <c r="K617" s="1" t="str">
        <f t="shared" si="75"/>
        <v>1900-01-00 :00</v>
      </c>
      <c r="L617" s="1" t="str">
        <f t="shared" si="76"/>
        <v xml:space="preserve"> (NULL, '1900-01-00 :00', NULL, '', NULL, '', NULL, '', NULL, NOW(), NOW()),</v>
      </c>
    </row>
    <row r="618" spans="1:12" ht="18.45">
      <c r="A618" s="44"/>
      <c r="B618" s="45" t="str">
        <f t="shared" si="74"/>
        <v>土</v>
      </c>
      <c r="C618" s="57"/>
      <c r="D618" s="57"/>
      <c r="E618" s="58"/>
      <c r="F618" s="59"/>
      <c r="G618" s="59"/>
      <c r="H618" s="60"/>
      <c r="I618" s="57"/>
      <c r="J618" s="61"/>
      <c r="K618" s="1" t="str">
        <f t="shared" si="75"/>
        <v>1900-01-00 :00</v>
      </c>
      <c r="L618" s="1" t="str">
        <f t="shared" si="76"/>
        <v xml:space="preserve"> (NULL, '1900-01-00 :00', NULL, '', NULL, '', NULL, '', NULL, NOW(), NOW()),</v>
      </c>
    </row>
    <row r="619" spans="1:12" ht="18.45">
      <c r="A619" s="44"/>
      <c r="B619" s="45" t="str">
        <f t="shared" si="74"/>
        <v>土</v>
      </c>
      <c r="C619" s="57"/>
      <c r="D619" s="57"/>
      <c r="E619" s="58"/>
      <c r="F619" s="59"/>
      <c r="G619" s="59"/>
      <c r="H619" s="60"/>
      <c r="I619" s="57"/>
      <c r="J619" s="61"/>
      <c r="K619" s="1" t="str">
        <f t="shared" si="75"/>
        <v>1900-01-00 :00</v>
      </c>
      <c r="L619" s="1" t="str">
        <f t="shared" si="76"/>
        <v xml:space="preserve"> (NULL, '1900-01-00 :00', NULL, '', NULL, '', NULL, '', NULL, NOW(), NOW()),</v>
      </c>
    </row>
    <row r="620" spans="1:12" ht="18.45">
      <c r="A620" s="44"/>
      <c r="B620" s="45" t="str">
        <f t="shared" si="74"/>
        <v>土</v>
      </c>
      <c r="C620" s="57"/>
      <c r="D620" s="57"/>
      <c r="E620" s="58"/>
      <c r="F620" s="59"/>
      <c r="G620" s="59"/>
      <c r="H620" s="60"/>
      <c r="I620" s="57"/>
      <c r="J620" s="61"/>
      <c r="K620" s="1" t="str">
        <f t="shared" si="75"/>
        <v>1900-01-00 :00</v>
      </c>
      <c r="L620" s="1" t="str">
        <f t="shared" si="76"/>
        <v xml:space="preserve"> (NULL, '1900-01-00 :00', NULL, '', NULL, '', NULL, '', NULL, NOW(), NOW()),</v>
      </c>
    </row>
    <row r="621" spans="1:12" ht="18.45">
      <c r="A621" s="44"/>
      <c r="B621" s="45" t="str">
        <f t="shared" si="74"/>
        <v>土</v>
      </c>
      <c r="C621" s="57"/>
      <c r="D621" s="57"/>
      <c r="E621" s="58"/>
      <c r="F621" s="59"/>
      <c r="G621" s="59"/>
      <c r="H621" s="60"/>
      <c r="I621" s="57"/>
      <c r="J621" s="61"/>
      <c r="K621" s="1" t="str">
        <f t="shared" si="75"/>
        <v>1900-01-00 :00</v>
      </c>
      <c r="L621" s="1" t="str">
        <f t="shared" si="76"/>
        <v xml:space="preserve"> (NULL, '1900-01-00 :00', NULL, '', NULL, '', NULL, '', NULL, NOW(), NOW()),</v>
      </c>
    </row>
    <row r="622" spans="1:12" ht="18.45">
      <c r="A622" s="44"/>
      <c r="B622" s="45" t="str">
        <f t="shared" si="74"/>
        <v>土</v>
      </c>
      <c r="C622" s="57"/>
      <c r="D622" s="57"/>
      <c r="E622" s="58"/>
      <c r="F622" s="59"/>
      <c r="G622" s="59"/>
      <c r="H622" s="60"/>
      <c r="I622" s="57"/>
      <c r="J622" s="61"/>
      <c r="K622" s="1" t="str">
        <f t="shared" si="75"/>
        <v>1900-01-00 :00</v>
      </c>
      <c r="L622" s="1" t="str">
        <f t="shared" si="76"/>
        <v xml:space="preserve"> (NULL, '1900-01-00 :00', NULL, '', NULL, '', NULL, '', NULL, NOW(), NOW()),</v>
      </c>
    </row>
    <row r="623" spans="1:12" ht="18.45">
      <c r="A623" s="44"/>
      <c r="B623" s="45" t="str">
        <f t="shared" si="74"/>
        <v>土</v>
      </c>
      <c r="C623" s="57"/>
      <c r="D623" s="57"/>
      <c r="E623" s="58"/>
      <c r="F623" s="59"/>
      <c r="G623" s="59"/>
      <c r="H623" s="60"/>
      <c r="I623" s="57"/>
      <c r="J623" s="61"/>
      <c r="K623" s="1" t="str">
        <f t="shared" si="75"/>
        <v>1900-01-00 :00</v>
      </c>
      <c r="L623" s="1" t="str">
        <f t="shared" si="76"/>
        <v xml:space="preserve"> (NULL, '1900-01-00 :00', NULL, '', NULL, '', NULL, '', NULL, NOW(), NOW()),</v>
      </c>
    </row>
    <row r="624" spans="1:12" ht="18.45">
      <c r="A624" s="44"/>
      <c r="B624" s="45" t="str">
        <f t="shared" si="74"/>
        <v>土</v>
      </c>
      <c r="C624" s="57"/>
      <c r="D624" s="57"/>
      <c r="E624" s="58"/>
      <c r="F624" s="59"/>
      <c r="G624" s="59"/>
      <c r="H624" s="60"/>
      <c r="I624" s="57"/>
      <c r="J624" s="61"/>
      <c r="K624" s="1" t="str">
        <f t="shared" si="75"/>
        <v>1900-01-00 :00</v>
      </c>
      <c r="L624" s="1" t="str">
        <f t="shared" si="76"/>
        <v xml:space="preserve"> (NULL, '1900-01-00 :00', NULL, '', NULL, '', NULL, '', NULL, NOW(), NOW()),</v>
      </c>
    </row>
    <row r="625" spans="1:12" ht="18.45">
      <c r="A625" s="44"/>
      <c r="B625" s="45" t="str">
        <f t="shared" si="74"/>
        <v>土</v>
      </c>
      <c r="C625" s="57"/>
      <c r="D625" s="57"/>
      <c r="E625" s="58"/>
      <c r="F625" s="59"/>
      <c r="G625" s="59"/>
      <c r="H625" s="60"/>
      <c r="I625" s="57"/>
      <c r="J625" s="61"/>
      <c r="K625" s="1" t="str">
        <f t="shared" si="75"/>
        <v>1900-01-00 :00</v>
      </c>
      <c r="L625" s="1" t="str">
        <f t="shared" si="76"/>
        <v xml:space="preserve"> (NULL, '1900-01-00 :00', NULL, '', NULL, '', NULL, '', NULL, NOW(), NOW()),</v>
      </c>
    </row>
    <row r="626" spans="1:12" ht="18.45">
      <c r="A626" s="44"/>
      <c r="B626" s="45" t="str">
        <f t="shared" si="74"/>
        <v>土</v>
      </c>
      <c r="C626" s="57"/>
      <c r="D626" s="57"/>
      <c r="E626" s="58"/>
      <c r="F626" s="59"/>
      <c r="G626" s="59"/>
      <c r="H626" s="60"/>
      <c r="I626" s="57"/>
      <c r="J626" s="61"/>
      <c r="K626" s="1" t="str">
        <f t="shared" si="75"/>
        <v>1900-01-00 :00</v>
      </c>
      <c r="L626" s="1" t="str">
        <f t="shared" si="76"/>
        <v xml:space="preserve"> (NULL, '1900-01-00 :00', NULL, '', NULL, '', NULL, '', NULL, NOW(), NOW()),</v>
      </c>
    </row>
    <row r="627" spans="1:12" ht="18.45">
      <c r="A627" s="44"/>
      <c r="B627" s="45" t="str">
        <f t="shared" si="74"/>
        <v>土</v>
      </c>
      <c r="C627" s="57"/>
      <c r="D627" s="57"/>
      <c r="E627" s="58"/>
      <c r="F627" s="59"/>
      <c r="G627" s="59"/>
      <c r="H627" s="60"/>
      <c r="I627" s="57"/>
      <c r="J627" s="61"/>
      <c r="K627" s="1" t="str">
        <f t="shared" si="75"/>
        <v>1900-01-00 :00</v>
      </c>
      <c r="L627" s="1" t="str">
        <f t="shared" si="76"/>
        <v xml:space="preserve"> (NULL, '1900-01-00 :00', NULL, '', NULL, '', NULL, '', NULL, NOW(), NOW()),</v>
      </c>
    </row>
    <row r="628" spans="1:12" ht="18.45">
      <c r="A628" s="44"/>
      <c r="B628" s="45" t="str">
        <f t="shared" si="74"/>
        <v>土</v>
      </c>
      <c r="C628" s="57"/>
      <c r="D628" s="57"/>
      <c r="E628" s="58"/>
      <c r="F628" s="59"/>
      <c r="G628" s="59"/>
      <c r="H628" s="60"/>
      <c r="I628" s="57"/>
      <c r="J628" s="61"/>
      <c r="K628" s="1" t="str">
        <f t="shared" si="75"/>
        <v>1900-01-00 :00</v>
      </c>
      <c r="L628" s="1" t="str">
        <f t="shared" si="76"/>
        <v xml:space="preserve"> (NULL, '1900-01-00 :00', NULL, '', NULL, '', NULL, '', NULL, NOW(), NOW()),</v>
      </c>
    </row>
    <row r="629" spans="1:12" ht="18.45">
      <c r="A629" s="44"/>
      <c r="B629" s="45" t="str">
        <f t="shared" si="74"/>
        <v>土</v>
      </c>
      <c r="C629" s="57"/>
      <c r="D629" s="57"/>
      <c r="E629" s="58"/>
      <c r="F629" s="59"/>
      <c r="G629" s="59"/>
      <c r="H629" s="60"/>
      <c r="I629" s="57"/>
      <c r="J629" s="61"/>
      <c r="K629" s="1" t="str">
        <f t="shared" si="75"/>
        <v>1900-01-00 :00</v>
      </c>
      <c r="L629" s="1" t="str">
        <f t="shared" si="76"/>
        <v xml:space="preserve"> (NULL, '1900-01-00 :00', NULL, '', NULL, '', NULL, '', NULL, NOW(), NOW()),</v>
      </c>
    </row>
    <row r="630" spans="1:12" ht="18.45">
      <c r="A630" s="44"/>
      <c r="B630" s="45" t="str">
        <f t="shared" si="74"/>
        <v>土</v>
      </c>
      <c r="C630" s="57"/>
      <c r="D630" s="57"/>
      <c r="E630" s="58"/>
      <c r="F630" s="59"/>
      <c r="G630" s="59"/>
      <c r="H630" s="60"/>
      <c r="I630" s="57"/>
      <c r="J630" s="61"/>
      <c r="K630" s="1" t="str">
        <f t="shared" si="75"/>
        <v>1900-01-00 :00</v>
      </c>
      <c r="L630" s="1" t="str">
        <f t="shared" si="76"/>
        <v xml:space="preserve"> (NULL, '1900-01-00 :00', NULL, '', NULL, '', NULL, '', NULL, NOW(), NOW()),</v>
      </c>
    </row>
    <row r="631" spans="1:12" ht="18.45">
      <c r="A631" s="44"/>
      <c r="B631" s="45" t="str">
        <f t="shared" si="74"/>
        <v>土</v>
      </c>
      <c r="C631" s="57"/>
      <c r="D631" s="57"/>
      <c r="E631" s="58"/>
      <c r="F631" s="59"/>
      <c r="G631" s="59"/>
      <c r="H631" s="60"/>
      <c r="I631" s="57"/>
      <c r="J631" s="61"/>
      <c r="K631" s="1" t="str">
        <f t="shared" si="75"/>
        <v>1900-01-00 :00</v>
      </c>
      <c r="L631" s="1" t="str">
        <f t="shared" si="76"/>
        <v xml:space="preserve"> (NULL, '1900-01-00 :00', NULL, '', NULL, '', NULL, '', NULL, NOW(), NOW()),</v>
      </c>
    </row>
    <row r="632" spans="1:12" ht="18.45">
      <c r="A632" s="44"/>
      <c r="B632" s="45" t="str">
        <f t="shared" si="74"/>
        <v>土</v>
      </c>
      <c r="C632" s="57"/>
      <c r="D632" s="57"/>
      <c r="E632" s="58"/>
      <c r="F632" s="59"/>
      <c r="G632" s="59"/>
      <c r="H632" s="60"/>
      <c r="I632" s="57"/>
      <c r="J632" s="61"/>
      <c r="K632" s="1" t="str">
        <f t="shared" si="75"/>
        <v>1900-01-00 :00</v>
      </c>
      <c r="L632" s="1" t="str">
        <f t="shared" si="76"/>
        <v xml:space="preserve"> (NULL, '1900-01-00 :00', NULL, '', NULL, '', NULL, '', NULL, NOW(), NOW()),</v>
      </c>
    </row>
    <row r="633" spans="1:12" ht="18.45">
      <c r="A633" s="44"/>
      <c r="B633" s="45" t="str">
        <f t="shared" si="74"/>
        <v>土</v>
      </c>
      <c r="C633" s="57"/>
      <c r="D633" s="57"/>
      <c r="E633" s="58"/>
      <c r="F633" s="59"/>
      <c r="G633" s="59"/>
      <c r="H633" s="60"/>
      <c r="I633" s="57"/>
      <c r="J633" s="61"/>
      <c r="K633" s="1" t="str">
        <f t="shared" si="75"/>
        <v>1900-01-00 :00</v>
      </c>
      <c r="L633" s="1" t="str">
        <f t="shared" si="76"/>
        <v xml:space="preserve"> (NULL, '1900-01-00 :00', NULL, '', NULL, '', NULL, '', NULL, NOW(), NOW()),</v>
      </c>
    </row>
    <row r="634" spans="1:12" ht="18.45">
      <c r="A634" s="44"/>
      <c r="B634" s="45" t="str">
        <f t="shared" si="74"/>
        <v>土</v>
      </c>
      <c r="C634" s="57"/>
      <c r="D634" s="57"/>
      <c r="E634" s="58"/>
      <c r="F634" s="59"/>
      <c r="G634" s="59"/>
      <c r="H634" s="60"/>
      <c r="I634" s="57"/>
      <c r="J634" s="61"/>
      <c r="K634" s="1" t="str">
        <f t="shared" si="75"/>
        <v>1900-01-00 :00</v>
      </c>
      <c r="L634" s="1" t="str">
        <f t="shared" si="76"/>
        <v xml:space="preserve"> (NULL, '1900-01-00 :00', NULL, '', NULL, '', NULL, '', NULL, NOW(), NOW()),</v>
      </c>
    </row>
    <row r="635" spans="1:12" ht="18.45">
      <c r="A635" s="44"/>
      <c r="B635" s="45" t="str">
        <f t="shared" si="74"/>
        <v>土</v>
      </c>
      <c r="C635" s="57"/>
      <c r="D635" s="57"/>
      <c r="E635" s="58"/>
      <c r="F635" s="59"/>
      <c r="G635" s="59"/>
      <c r="H635" s="60"/>
      <c r="I635" s="57"/>
      <c r="J635" s="61"/>
      <c r="K635" s="1" t="str">
        <f t="shared" si="75"/>
        <v>1900-01-00 :00</v>
      </c>
      <c r="L635" s="1" t="str">
        <f t="shared" si="76"/>
        <v xml:space="preserve"> (NULL, '1900-01-00 :00', NULL, '', NULL, '', NULL, '', NULL, NOW(), NOW()),</v>
      </c>
    </row>
    <row r="636" spans="1:12" ht="18.45">
      <c r="A636" s="44"/>
      <c r="B636" s="45" t="str">
        <f t="shared" si="74"/>
        <v>土</v>
      </c>
      <c r="C636" s="57"/>
      <c r="D636" s="57"/>
      <c r="E636" s="58"/>
      <c r="F636" s="59"/>
      <c r="G636" s="59"/>
      <c r="H636" s="60"/>
      <c r="I636" s="57"/>
      <c r="J636" s="61"/>
      <c r="K636" s="1" t="str">
        <f t="shared" si="75"/>
        <v>1900-01-00 :00</v>
      </c>
      <c r="L636" s="1" t="str">
        <f t="shared" si="76"/>
        <v xml:space="preserve"> (NULL, '1900-01-00 :00', NULL, '', NULL, '', NULL, '', NULL, NOW(), NOW()),</v>
      </c>
    </row>
    <row r="637" spans="1:12" ht="18.45">
      <c r="A637" s="44"/>
      <c r="B637" s="45" t="str">
        <f t="shared" si="74"/>
        <v>土</v>
      </c>
      <c r="C637" s="57"/>
      <c r="D637" s="57"/>
      <c r="E637" s="58"/>
      <c r="F637" s="59"/>
      <c r="G637" s="59"/>
      <c r="H637" s="60"/>
      <c r="I637" s="57"/>
      <c r="J637" s="61"/>
      <c r="K637" s="1" t="str">
        <f t="shared" si="75"/>
        <v>1900-01-00 :00</v>
      </c>
      <c r="L637" s="1" t="str">
        <f t="shared" si="76"/>
        <v xml:space="preserve"> (NULL, '1900-01-00 :00', NULL, '', NULL, '', NULL, '', NULL, NOW(), NOW()),</v>
      </c>
    </row>
    <row r="638" spans="1:12" ht="18.45">
      <c r="A638" s="44"/>
      <c r="B638" s="45" t="str">
        <f t="shared" si="74"/>
        <v>土</v>
      </c>
      <c r="C638" s="57"/>
      <c r="D638" s="57"/>
      <c r="E638" s="58"/>
      <c r="F638" s="59"/>
      <c r="G638" s="59"/>
      <c r="H638" s="60"/>
      <c r="I638" s="57"/>
      <c r="J638" s="61"/>
      <c r="K638" s="1" t="str">
        <f t="shared" si="75"/>
        <v>1900-01-00 :00</v>
      </c>
      <c r="L638" s="1" t="str">
        <f t="shared" si="76"/>
        <v xml:space="preserve"> (NULL, '1900-01-00 :00', NULL, '', NULL, '', NULL, '', NULL, NOW(), NOW()),</v>
      </c>
    </row>
    <row r="639" spans="1:12" ht="18.45">
      <c r="A639" s="44"/>
      <c r="B639" s="45" t="str">
        <f t="shared" si="74"/>
        <v>土</v>
      </c>
      <c r="C639" s="57"/>
      <c r="D639" s="57"/>
      <c r="E639" s="58"/>
      <c r="F639" s="59"/>
      <c r="G639" s="59"/>
      <c r="H639" s="60"/>
      <c r="I639" s="57"/>
      <c r="J639" s="61"/>
      <c r="K639" s="1" t="str">
        <f t="shared" si="75"/>
        <v>1900-01-00 :00</v>
      </c>
      <c r="L639" s="1" t="str">
        <f t="shared" si="76"/>
        <v xml:space="preserve"> (NULL, '1900-01-00 :00', NULL, '', NULL, '', NULL, '', NULL, NOW(), NOW()),</v>
      </c>
    </row>
    <row r="640" spans="1:12" ht="18.45">
      <c r="A640" s="44"/>
      <c r="B640" s="45" t="str">
        <f t="shared" si="74"/>
        <v>土</v>
      </c>
      <c r="C640" s="57"/>
      <c r="D640" s="57"/>
      <c r="E640" s="58"/>
      <c r="F640" s="59"/>
      <c r="G640" s="59"/>
      <c r="H640" s="60"/>
      <c r="I640" s="57"/>
      <c r="J640" s="61"/>
      <c r="K640" s="1" t="str">
        <f t="shared" si="75"/>
        <v>1900-01-00 :00</v>
      </c>
      <c r="L640" s="1" t="str">
        <f t="shared" si="76"/>
        <v xml:space="preserve"> (NULL, '1900-01-00 :00', NULL, '', NULL, '', NULL, '', NULL, NOW(), NOW()),</v>
      </c>
    </row>
    <row r="641" spans="9:10">
      <c r="I641" s="21"/>
      <c r="J641" s="21"/>
    </row>
    <row r="642" spans="9:10">
      <c r="I642" s="21"/>
      <c r="J642" s="21"/>
    </row>
    <row r="643" spans="9:10">
      <c r="I643" s="21"/>
      <c r="J643" s="21"/>
    </row>
    <row r="644" spans="9:10">
      <c r="I644" s="21"/>
      <c r="J644" s="21"/>
    </row>
    <row r="645" spans="9:10">
      <c r="I645" s="21"/>
      <c r="J645" s="21"/>
    </row>
    <row r="646" spans="9:10">
      <c r="I646" s="21"/>
      <c r="J646" s="21"/>
    </row>
    <row r="647" spans="9:10">
      <c r="I647" s="21"/>
      <c r="J647" s="21"/>
    </row>
    <row r="648" spans="9:10">
      <c r="I648" s="21"/>
      <c r="J648" s="21"/>
    </row>
    <row r="649" spans="9:10">
      <c r="I649" s="21"/>
      <c r="J649" s="21"/>
    </row>
    <row r="650" spans="9:10">
      <c r="I650" s="21"/>
      <c r="J650" s="21"/>
    </row>
  </sheetData>
  <autoFilter ref="A2:K368" xr:uid="{00000000-0001-0000-0000-000000000000}">
    <filterColumn colId="0" showButton="0"/>
  </autoFilter>
  <mergeCells count="1">
    <mergeCell ref="A2:B2"/>
  </mergeCells>
  <phoneticPr fontId="1"/>
  <hyperlinks>
    <hyperlink ref="J38" r:id="rId1" xr:uid="{73EA44A1-80F7-4C8D-A362-E6E250379B2C}"/>
    <hyperlink ref="J14" r:id="rId2" xr:uid="{CC890550-0D8D-452D-AF61-A499528DC6A5}"/>
    <hyperlink ref="J10" r:id="rId3" xr:uid="{611D07DD-DC65-418D-A7B9-8A78EF94782F}"/>
    <hyperlink ref="J43" r:id="rId4" xr:uid="{36DAA566-13EF-4BF4-87AE-6AA050465E6E}"/>
    <hyperlink ref="J52" r:id="rId5" xr:uid="{24CBBA83-0C44-446D-88D5-F1A5F2B94B9C}"/>
    <hyperlink ref="J40" r:id="rId6" xr:uid="{F5E65F19-06AD-42BA-ABC2-E9C7CFECEC08}"/>
    <hyperlink ref="J54" r:id="rId7" xr:uid="{D52720BA-1028-4ED4-9FD9-72C5AC8C5FD1}"/>
    <hyperlink ref="J68" r:id="rId8" xr:uid="{CE09B47B-D515-401B-BC03-6B392A7389CE}"/>
    <hyperlink ref="J21" r:id="rId9" xr:uid="{B88ABC6C-2971-4E5B-A104-F5CA41160B08}"/>
    <hyperlink ref="J45" r:id="rId10" xr:uid="{ADBD4881-F0BB-457B-B4B1-1EA184157C70}"/>
    <hyperlink ref="J3" r:id="rId11" xr:uid="{9AB83B33-418B-4795-969E-E85FAB66DFFE}"/>
    <hyperlink ref="J11" r:id="rId12" xr:uid="{7779599C-CC9E-4648-A006-E25E442EBAD0}"/>
    <hyperlink ref="J16" r:id="rId13" xr:uid="{ACB1DE6E-06F3-443B-9DFA-BF7AAC84A0B1}"/>
    <hyperlink ref="J17" r:id="rId14" xr:uid="{67F6C3F6-ED5D-4C94-83CB-06930F6E3704}"/>
    <hyperlink ref="J22" r:id="rId15" xr:uid="{A4CADCE9-311E-49F2-8468-4564872766C9}"/>
    <hyperlink ref="J85" r:id="rId16" xr:uid="{3E3644C7-CBC8-4B99-8D96-B93712EBF4FE}"/>
    <hyperlink ref="J62" r:id="rId17" xr:uid="{8F130BDD-8B0F-4FF3-9E5D-EDF120439E5E}"/>
    <hyperlink ref="J64" r:id="rId18" xr:uid="{68BB17BE-185F-48ED-B602-6FBE1831B6E2}"/>
    <hyperlink ref="J63" r:id="rId19" xr:uid="{F4BAC724-E04B-42D9-AC8A-AB7D3703626C}"/>
    <hyperlink ref="J69" r:id="rId20" xr:uid="{8909ECEB-0790-42D1-8B69-DA8A9725B38A}"/>
    <hyperlink ref="J113" r:id="rId21" xr:uid="{3936076B-15FC-483E-A261-8F8610B48C2B}"/>
    <hyperlink ref="J116" r:id="rId22" xr:uid="{DE7D3596-42E2-48F9-9A80-CCB23767E1F9}"/>
    <hyperlink ref="J118" r:id="rId23" xr:uid="{ADCCBD86-8342-4FAC-9A95-E257AFC7A85D}"/>
    <hyperlink ref="J112" r:id="rId24" xr:uid="{DBBF2A43-26A3-4C9A-BC2B-2CEC02F05FE5}"/>
    <hyperlink ref="J107" r:id="rId25" xr:uid="{C7958F28-E070-4917-B75A-4B8D52C62113}"/>
    <hyperlink ref="J106" r:id="rId26" xr:uid="{A20BBF64-BE4F-42C6-9332-0A2195D01AE7}"/>
    <hyperlink ref="J108" r:id="rId27" xr:uid="{363E5129-F310-4AFA-A3E5-E2B3923FC20B}"/>
    <hyperlink ref="J100" r:id="rId28" xr:uid="{FA1C193E-5877-4A74-870D-29C35412B510}"/>
    <hyperlink ref="J96" r:id="rId29" xr:uid="{9B507468-E168-4EB3-B0A2-4056400E362C}"/>
    <hyperlink ref="J97" r:id="rId30" xr:uid="{8C4159BD-547E-4BFB-84CC-A09A936C0CFA}"/>
    <hyperlink ref="J94" r:id="rId31" xr:uid="{59973AF9-89F4-4BEF-B959-64B3B0E83DF4}"/>
    <hyperlink ref="J87" r:id="rId32" xr:uid="{FB341A45-53D7-45AF-9E54-D5BC70DD1768}"/>
    <hyperlink ref="J80" r:id="rId33" xr:uid="{E3E49782-90BE-493A-BAC9-0697FFF004B6}"/>
    <hyperlink ref="J84" r:id="rId34" xr:uid="{EAD99252-ACED-4625-804A-DD0AFC038C00}"/>
    <hyperlink ref="J81" r:id="rId35" xr:uid="{824FE510-3E7E-4176-9E16-471A255276F7}"/>
    <hyperlink ref="J75" r:id="rId36" xr:uid="{D64C2C68-923B-485C-A34D-423DB1AD67EC}"/>
    <hyperlink ref="J78" r:id="rId37" xr:uid="{03EC0586-97F1-499B-88F3-57D98CD965D6}"/>
    <hyperlink ref="J127" r:id="rId38" display="https://www.kokuchpro.com/event/7537c25445b6115008c0b55255f38fb2/" xr:uid="{9C4DF919-7CE8-436F-8A22-A817A8F053C6}"/>
    <hyperlink ref="J126" r:id="rId39" xr:uid="{4EB1E044-C3E1-40D3-B4CA-4B91BBD8C489}"/>
    <hyperlink ref="J125" r:id="rId40" xr:uid="{72C56069-F90B-4688-AEE9-AE97AD01CDC7}"/>
    <hyperlink ref="J130" r:id="rId41" xr:uid="{7F50549F-EAF4-422A-A87D-E3B8CCF266F1}"/>
    <hyperlink ref="J129" r:id="rId42" xr:uid="{E57F024B-CB02-48A4-B664-E0B276A91294}"/>
    <hyperlink ref="J132" r:id="rId43" xr:uid="{79B5320A-DED5-4B51-8281-1B3623F7BFE8}"/>
    <hyperlink ref="J139" r:id="rId44" xr:uid="{BF37D493-693C-4DF9-BACD-E5F36A2E8548}"/>
    <hyperlink ref="J138" r:id="rId45" xr:uid="{23A513C0-772C-4B04-8EF6-F0AB2D9FA46D}"/>
    <hyperlink ref="J137" r:id="rId46" xr:uid="{90315822-9AFB-40C1-A2F1-B717BDC7AFF7}"/>
    <hyperlink ref="J141" r:id="rId47" xr:uid="{DF40650E-71A4-4994-AD0E-E0AAFFD466C7}"/>
    <hyperlink ref="J144" r:id="rId48" xr:uid="{0399D674-553B-47AA-9B03-5BA87E6D9D4D}"/>
    <hyperlink ref="J148" r:id="rId49" xr:uid="{64A1CDEE-1E83-49BB-9988-C59C32BB7AA3}"/>
    <hyperlink ref="J154" r:id="rId50" xr:uid="{72A391E0-6822-4E22-8B2F-1CEE66DC1BA4}"/>
    <hyperlink ref="J145" r:id="rId51" xr:uid="{081511B4-C871-4E59-A2BD-8D439BBDC845}"/>
    <hyperlink ref="J150" r:id="rId52" xr:uid="{7F4C42B6-9DC5-437F-AE10-DDA660A38702}"/>
    <hyperlink ref="J151" r:id="rId53" xr:uid="{689FFB48-1921-49CB-A2C8-861DCA3A814A}"/>
    <hyperlink ref="J152" r:id="rId54" xr:uid="{4E62A0DF-5E76-4E00-B030-C9474C276D8F}"/>
    <hyperlink ref="J155" r:id="rId55" xr:uid="{288A616D-FED1-4B47-8A37-13D9A93A40AC}"/>
    <hyperlink ref="J159" r:id="rId56" xr:uid="{9B226172-8DC2-473C-BA0C-E3F40B9AC3D8}"/>
    <hyperlink ref="J157" r:id="rId57" xr:uid="{253A5377-75B6-4227-ABB9-A6931B07B535}"/>
    <hyperlink ref="J158" r:id="rId58" xr:uid="{5F79C156-A587-4F46-9EB7-FD8F1A997445}"/>
    <hyperlink ref="J160" r:id="rId59" xr:uid="{035879D3-31CF-49B6-949C-952A2605B734}"/>
    <hyperlink ref="J161" r:id="rId60" xr:uid="{8C646258-8866-4764-A31E-6678D96C5215}"/>
    <hyperlink ref="J163" r:id="rId61" xr:uid="{E66124AD-EF6D-4C5A-B060-BB58E61EA05D}"/>
    <hyperlink ref="J162" r:id="rId62" xr:uid="{04CDBD33-CE64-4B25-856B-F5FC99D02936}"/>
    <hyperlink ref="J169" r:id="rId63" xr:uid="{1FC480D9-E851-41CD-A430-D32C83F8A776}"/>
    <hyperlink ref="J182" r:id="rId64" xr:uid="{386B4399-8A50-4DE6-84FF-94B52BE4D8CE}"/>
    <hyperlink ref="J175" r:id="rId65" xr:uid="{A0B21980-6C3A-420D-ADFF-DF73EC0D7D8B}"/>
    <hyperlink ref="J180" r:id="rId66" xr:uid="{ADCB7E54-F27F-4DF2-BFF5-13CEFAD55757}"/>
    <hyperlink ref="J179" r:id="rId67" xr:uid="{357ECAC7-6180-4E6B-B8AA-FF123233E486}"/>
    <hyperlink ref="J178" r:id="rId68" xr:uid="{85F6CD62-A35E-4063-B558-E909FFC1D53C}"/>
    <hyperlink ref="J173" r:id="rId69" xr:uid="{5DFAF41B-C236-4B56-8842-43E3501B9939}"/>
    <hyperlink ref="J193" r:id="rId70" xr:uid="{6C4D05ED-8772-4D60-9459-6DEA135B2882}"/>
    <hyperlink ref="J186" r:id="rId71" xr:uid="{6C2F5E17-1989-49D4-8307-097A9383E804}"/>
    <hyperlink ref="J195" r:id="rId72" xr:uid="{EFC5D207-0DEC-4FCB-8976-FCFA882C962A}"/>
    <hyperlink ref="J196" r:id="rId73" xr:uid="{48B2CC54-AF85-44F5-A6C8-22F0824E7900}"/>
    <hyperlink ref="J192" r:id="rId74" xr:uid="{E2D16220-BAA2-4207-A471-E639D8FE9A2C}"/>
    <hyperlink ref="J205" r:id="rId75" xr:uid="{78FDBCBC-C42D-4BF5-90A7-D9382A9868EC}"/>
    <hyperlink ref="J207" r:id="rId76" xr:uid="{06581646-3145-4BF1-B1D5-8DA94E5F8449}"/>
    <hyperlink ref="J200" r:id="rId77" xr:uid="{2AA6EBE4-6543-4A3B-B8E3-265E300CED81}"/>
    <hyperlink ref="J204" r:id="rId78" xr:uid="{CC6A6E6A-10CB-4038-A0C0-2B11401B8294}"/>
    <hyperlink ref="J213" r:id="rId79" xr:uid="{8A4226AD-0FA6-438D-B930-E6DD0F9B116E}"/>
    <hyperlink ref="J211" r:id="rId80" xr:uid="{F82E40D7-10F6-49A8-93CD-4877F6D5D0EE}"/>
    <hyperlink ref="J194" r:id="rId81" xr:uid="{B82414B1-081B-45DA-B317-5FFBCC949AFC}"/>
    <hyperlink ref="J197" r:id="rId82" xr:uid="{8808FD81-8650-46AA-9BA9-0588A04112FF}"/>
    <hyperlink ref="J201" r:id="rId83" xr:uid="{58CD7534-803C-4939-994E-6EF54CDAF65A}"/>
    <hyperlink ref="J221" r:id="rId84" xr:uid="{995675C3-4421-4931-8A3D-98C475792628}"/>
    <hyperlink ref="J227" r:id="rId85" xr:uid="{570B63E2-FC40-4F80-9016-23839DFC10DF}"/>
    <hyperlink ref="J222" r:id="rId86" xr:uid="{23BCA4B4-2DD9-4830-A54F-C16A2E53EA09}"/>
    <hyperlink ref="J229" r:id="rId87" xr:uid="{A2B1F64A-91CC-4C69-9500-11A21EBD6525}"/>
    <hyperlink ref="J216" r:id="rId88" xr:uid="{E914687B-F714-4C7C-900C-7207BA1F0C7C}"/>
    <hyperlink ref="J238" r:id="rId89" xr:uid="{D63DF456-4D1A-402F-92CD-DE3A46A31EB6}"/>
    <hyperlink ref="J230" r:id="rId90" xr:uid="{20C4F11D-02FD-49A2-B896-69E57C2493F0}"/>
    <hyperlink ref="J231" r:id="rId91" xr:uid="{E53F2B5E-16E7-4609-948E-45F1D8C4196F}"/>
    <hyperlink ref="J234" r:id="rId92" xr:uid="{B907A193-9030-4C9C-A171-775A32911B41}"/>
    <hyperlink ref="J228" r:id="rId93" xr:uid="{67413AAD-9E3C-4FAE-9885-D78E3A665B56}"/>
    <hyperlink ref="J235" r:id="rId94" xr:uid="{6F15A18E-30E2-446B-A222-6276DA132B56}"/>
    <hyperlink ref="J236" r:id="rId95" xr:uid="{3F3EE6AB-829E-4F5D-89F2-E7998B17EFFF}"/>
    <hyperlink ref="J245" r:id="rId96" xr:uid="{7D184853-EBB9-4886-9A2D-1D2CA5D344FF}"/>
    <hyperlink ref="J244" r:id="rId97" xr:uid="{3D02A7AC-B9D6-4574-B589-280BDD416215}"/>
    <hyperlink ref="J253" r:id="rId98" xr:uid="{B1C4D0DC-015B-4F41-B832-EDB1FED7B877}"/>
    <hyperlink ref="J240" r:id="rId99" xr:uid="{E622AB1E-56E1-4ACF-9877-917946D06D7F}"/>
    <hyperlink ref="J248" r:id="rId100" xr:uid="{0707D3D3-04EB-4EC6-AEE3-418C4FF6CCBA}"/>
    <hyperlink ref="J250" r:id="rId101" xr:uid="{3C9E4BA0-F117-4071-ACAF-A85F61FAE10E}"/>
    <hyperlink ref="J249" r:id="rId102" xr:uid="{166F7214-9982-40B9-8160-A3EB22906E98}"/>
    <hyperlink ref="J259" r:id="rId103" xr:uid="{1DF14AAE-D7D2-4F06-AFF4-E698A9743EDB}"/>
    <hyperlink ref="J258" r:id="rId104" xr:uid="{BF802385-6419-4495-BE50-A361F748F4F6}"/>
    <hyperlink ref="J255" r:id="rId105" xr:uid="{095E7657-119D-4B7E-8C3A-AA10C20776D9}"/>
    <hyperlink ref="J257" r:id="rId106" xr:uid="{8089ADB2-72F5-45BA-AD03-62A8DCF26D24}"/>
    <hyperlink ref="J263" r:id="rId107" xr:uid="{8EF1A8A0-9CF1-4C7E-83D5-B985B0AFAE71}"/>
    <hyperlink ref="J264" r:id="rId108" xr:uid="{972373A9-CEB5-4F1D-83A5-323C8609267F}"/>
    <hyperlink ref="J268" r:id="rId109" xr:uid="{437C5ABB-5577-406A-BE83-DE7074D63DCD}"/>
    <hyperlink ref="J270" r:id="rId110" xr:uid="{D25D42A0-8F86-4295-BB80-EDFD40072BF6}"/>
    <hyperlink ref="J277" r:id="rId111" xr:uid="{25E666D5-A726-41F6-A77A-45F36ADDD819}"/>
    <hyperlink ref="J280" r:id="rId112" xr:uid="{B034726D-84F6-43E1-BA3E-68A73075DBA1}"/>
    <hyperlink ref="J278" r:id="rId113" xr:uid="{CBEF49A9-A72D-4430-839C-BB2A179861F4}"/>
    <hyperlink ref="J284" r:id="rId114" xr:uid="{4861FAB4-F4DA-46D7-865C-861A612F0AFF}"/>
    <hyperlink ref="J286" r:id="rId115" xr:uid="{9443AA66-7B80-499C-B8CA-C0BF878FDDFB}"/>
    <hyperlink ref="J283" r:id="rId116" xr:uid="{9BC25B85-E3F3-478D-B6E3-C73F34C50827}"/>
    <hyperlink ref="J288" r:id="rId117" xr:uid="{EC6F6295-59AC-401E-98B8-A5E2B8E45035}"/>
    <hyperlink ref="J293" r:id="rId118" xr:uid="{B56E9AE0-3A99-49B3-B275-54E4DC5470B9}"/>
    <hyperlink ref="J290" r:id="rId119" xr:uid="{AE4CDB90-F8A8-4FBB-A912-C2010CA40C79}"/>
    <hyperlink ref="J289" r:id="rId120" xr:uid="{6F417A1F-5E32-4F25-A0AE-B4B7D4EE0CEB}"/>
    <hyperlink ref="J301" r:id="rId121" xr:uid="{5B489915-C8FF-4FFE-8055-24F12E1A4C71}"/>
    <hyperlink ref="J324" r:id="rId122" xr:uid="{3DEA28EA-3EC9-4525-9FE6-05531B66337F}"/>
    <hyperlink ref="J330" r:id="rId123" xr:uid="{B0D8022B-6384-416F-94EB-76F7A81E67CA}"/>
    <hyperlink ref="J337" r:id="rId124" xr:uid="{94F31F4A-BF17-49DF-9E6B-7074C2AE2AF2}"/>
    <hyperlink ref="J343" r:id="rId125" xr:uid="{4C22E86E-30C5-4DB5-935F-AB43A5AFFB4F}"/>
    <hyperlink ref="J347" r:id="rId126" xr:uid="{9BB9C5CC-F775-40EF-AACF-62235BF7DA12}"/>
    <hyperlink ref="J262" r:id="rId127" xr:uid="{8FAFDE2B-898D-4F38-ACF2-EA02C7FBE950}"/>
    <hyperlink ref="J279" r:id="rId128" xr:uid="{46561F7E-7481-4703-9BD6-36C7097D00BF}"/>
    <hyperlink ref="J282" r:id="rId129" xr:uid="{242034C7-91F1-4C12-B430-95E64B9946E3}"/>
    <hyperlink ref="J287" r:id="rId130" xr:uid="{CEB3A0B8-9BC7-451D-ABA1-5CBD649D8277}"/>
    <hyperlink ref="J291" r:id="rId131" xr:uid="{76432FC7-EA46-4494-B2C2-F9EAEBB6A7EF}"/>
    <hyperlink ref="J294" r:id="rId132" xr:uid="{FF9DAABE-0870-49DD-BC79-7D5D7AECFA60}"/>
    <hyperlink ref="J298" r:id="rId133" xr:uid="{AE077BD1-92E4-4FA1-9645-6DEF68F4AEBB}"/>
    <hyperlink ref="J303" r:id="rId134" xr:uid="{5723256F-7D43-46E7-9D88-D29273D62349}"/>
    <hyperlink ref="J322" r:id="rId135" xr:uid="{52990022-16B2-4538-A096-4F708B97833A}"/>
    <hyperlink ref="J321" r:id="rId136" xr:uid="{2A47C60D-7A68-4FE5-9FB3-C59688558E25}"/>
    <hyperlink ref="J334" r:id="rId137" xr:uid="{EC81CB5C-3254-4B30-9BF0-A5A72CF73C2A}"/>
    <hyperlink ref="J339" r:id="rId138" xr:uid="{97469A9F-8755-4107-9D21-F1363DD6A307}"/>
    <hyperlink ref="J341" r:id="rId139" xr:uid="{F1DB65C9-CAA0-469F-91AB-9FF67F03F02B}"/>
    <hyperlink ref="J344" r:id="rId140" xr:uid="{23955835-3E8B-4327-B826-1A45D0C2A130}"/>
    <hyperlink ref="J305" r:id="rId141" xr:uid="{3CEA362D-59E0-4692-8D94-2DC0BFAE3467}"/>
    <hyperlink ref="J318" r:id="rId142" xr:uid="{B29BCBCF-2F40-42B4-8B88-9C89FA4DD3CA}"/>
    <hyperlink ref="J320" r:id="rId143" xr:uid="{CAEE683E-D565-409B-863E-A180F52BFED0}"/>
    <hyperlink ref="J325" r:id="rId144" xr:uid="{92522703-F1EC-4E51-B22E-82104CB81957}"/>
    <hyperlink ref="J328" r:id="rId145" xr:uid="{23258750-A5EF-47A7-9E75-945476397C58}"/>
    <hyperlink ref="J329" r:id="rId146" xr:uid="{6FC2F2B0-A929-4BB1-979D-97499D8C636A}"/>
    <hyperlink ref="J331" r:id="rId147" xr:uid="{C8678DE9-205E-47A9-971A-EBE77CB325E5}"/>
    <hyperlink ref="J333" r:id="rId148" xr:uid="{68C0AFDD-BAF9-4E23-8F82-E7F4585D4EB6}"/>
    <hyperlink ref="J340" r:id="rId149" xr:uid="{175506A3-5C05-49A3-BF28-962192FC4008}"/>
    <hyperlink ref="J348" r:id="rId150" xr:uid="{0D6963A4-4F37-480C-B7DB-3D71606C4CAB}"/>
    <hyperlink ref="J350" r:id="rId151" xr:uid="{5A5888A3-217F-470F-858C-8E2294DB3BFB}"/>
    <hyperlink ref="J354" r:id="rId152" xr:uid="{D087B402-1C67-445C-8CC3-266570E576FB}"/>
    <hyperlink ref="J355" r:id="rId153" xr:uid="{0070EC7A-152F-4788-A358-64005F07256C}"/>
    <hyperlink ref="J358" r:id="rId154" xr:uid="{1FFB3BDC-E9F7-42AF-9402-550A7402B468}"/>
    <hyperlink ref="J376" r:id="rId155" display="https://www.kokuchpro.com/event/36e6a3203b62457bb761cbbb57cf2674/3754052/" xr:uid="{83555455-D312-4CBC-9C65-EB024B6F18A7}"/>
    <hyperlink ref="J369" r:id="rId156" xr:uid="{161B9D3F-60B0-4EBF-9BE4-94B841753A36}"/>
    <hyperlink ref="J370" r:id="rId157" display="https://www.kokuchpro.com/event/b2a9706c54c83342535261c8d5dca180/3754023/" xr:uid="{F1AA627C-6FB1-47BD-870A-ADDADEFB60E7}"/>
    <hyperlink ref="J390" r:id="rId158" xr:uid="{D3116419-C97A-4CEE-9CE8-66E6C3D02A6D}"/>
    <hyperlink ref="J392" r:id="rId159" xr:uid="{43163EC6-DE5D-40F6-ABF3-1EAB76A262E6}"/>
    <hyperlink ref="J381" r:id="rId160" xr:uid="{8F5945B0-86DB-4077-8D9F-3CA9121C2C6C}"/>
    <hyperlink ref="J357" r:id="rId161" xr:uid="{67379811-8324-437A-8070-EAE43702D6FA}"/>
    <hyperlink ref="J361" r:id="rId162" xr:uid="{4C9F107D-0F90-4AA1-9838-055A64FD0CEB}"/>
    <hyperlink ref="J359" r:id="rId163" xr:uid="{F8528202-E079-4E92-BA80-B57831D20BCC}"/>
    <hyperlink ref="J363" r:id="rId164" xr:uid="{E4EC59D8-C626-48AE-BB84-8134193A21E8}"/>
    <hyperlink ref="J467" r:id="rId165" xr:uid="{C1FD3A2E-38FA-4B37-97AC-AA257046CB01}"/>
    <hyperlink ref="J473" r:id="rId166" xr:uid="{5615E09B-DDC0-4A31-863C-9897F36C639B}"/>
    <hyperlink ref="J493" r:id="rId167" xr:uid="{E4BC5E63-AC7B-4337-8188-AF8BFBDE1F8D}"/>
    <hyperlink ref="J533" r:id="rId168" xr:uid="{A2FE4E3B-90C9-4B92-90A1-FE959B9FCE7D}"/>
    <hyperlink ref="J466" r:id="rId169" xr:uid="{23A4617D-0CB4-484B-9931-4D5E80D5B704}"/>
    <hyperlink ref="J457" r:id="rId170" xr:uid="{21E579D3-BF50-452E-B2CF-9C56CFEEDAA8}"/>
    <hyperlink ref="J469" r:id="rId171" xr:uid="{A5FB896E-C35D-4C0B-8ED7-D37201F7CE55}"/>
    <hyperlink ref="J486" r:id="rId172" xr:uid="{DA509C83-8DC2-4F66-A465-26AF2890A4D9}"/>
    <hyperlink ref="J464" r:id="rId173" xr:uid="{458FF434-1A25-4A80-ACFB-D1D5D746E808}"/>
    <hyperlink ref="J481" r:id="rId174" xr:uid="{02CB2C8A-F677-4708-AD78-2A8D593C3094}"/>
    <hyperlink ref="J480" r:id="rId175" xr:uid="{C6AC548C-BA10-4520-B40D-78CE7EB6A0FD}"/>
    <hyperlink ref="J489" r:id="rId176" xr:uid="{7FE781A5-BE80-4ED8-A623-2BA1303FE297}"/>
    <hyperlink ref="J495" r:id="rId177" xr:uid="{C44CDBB1-E912-4425-9AA6-5DA21C34D34D}"/>
    <hyperlink ref="J485" r:id="rId178" xr:uid="{3B6F9254-659A-4E71-8BF8-123EE80825BB}"/>
    <hyperlink ref="J458" r:id="rId179" xr:uid="{21DE6E34-2940-4587-9559-0CFE81F66667}"/>
    <hyperlink ref="J456" r:id="rId180" xr:uid="{272E4741-204C-4191-8E89-3EE8BCF8F1AD}"/>
    <hyperlink ref="J463" r:id="rId181" xr:uid="{083E5F98-7C99-4E7B-BCAD-9DE9179BD543}"/>
    <hyperlink ref="J468" r:id="rId182" xr:uid="{3663129A-A00A-4130-A06E-138B3810338F}"/>
    <hyperlink ref="J462" r:id="rId183" xr:uid="{853C93C3-F1ED-488D-8B09-101305B9CDB7}"/>
    <hyperlink ref="J478" r:id="rId184" xr:uid="{665FC563-9FD7-422C-A19E-4D62C876A957}"/>
    <hyperlink ref="J488" r:id="rId185" xr:uid="{D2AE0D35-08AF-462B-8415-FEA9E8E9B701}"/>
    <hyperlink ref="J482" r:id="rId186" xr:uid="{59C2ABEC-22D7-44C7-B8C2-FCA5DB419D2A}"/>
    <hyperlink ref="J531" r:id="rId187" xr:uid="{93D2779E-5DBA-44C0-BDF2-E4359D7D8D6F}"/>
    <hyperlink ref="J568" r:id="rId188" xr:uid="{76EFB001-AF41-4915-B3EA-F1F429043636}"/>
    <hyperlink ref="J461" r:id="rId189" xr:uid="{2A28CBA3-90B1-4091-B072-E18C71606105}"/>
    <hyperlink ref="J487" r:id="rId190" xr:uid="{D31C5BEF-5617-40AB-A000-0E18BE8E8AED}"/>
    <hyperlink ref="J479" r:id="rId191" xr:uid="{3EED5E26-3341-4027-8560-696994EC743E}"/>
    <hyperlink ref="J503" r:id="rId192" xr:uid="{6D49912A-9881-4A9F-980E-79CE253F9313}"/>
    <hyperlink ref="J459" r:id="rId193" xr:uid="{E981E541-FF26-4B20-B212-4AE2FF064B8E}"/>
    <hyperlink ref="J460" r:id="rId194" xr:uid="{0DF011A1-A5EC-4D87-AB60-21F9F61048FD}"/>
    <hyperlink ref="J471" r:id="rId195" xr:uid="{128D98CC-82A0-40E0-A678-95758302878D}"/>
    <hyperlink ref="J475" r:id="rId196" xr:uid="{3754054F-6B0F-475A-990A-008470B7ACE7}"/>
    <hyperlink ref="J491" r:id="rId197" xr:uid="{DE1C2CC2-36B6-4C1D-8B82-58A5243634DE}"/>
    <hyperlink ref="J492" r:id="rId198" xr:uid="{BCCE8FD8-B907-49D9-B805-CBC28F663A38}"/>
    <hyperlink ref="J506" r:id="rId199" xr:uid="{C377A97C-A591-4F57-BB66-CF9AC0F39621}"/>
    <hyperlink ref="J477" r:id="rId200" xr:uid="{FE635402-F200-4D53-9041-37C29E34F5A1}"/>
    <hyperlink ref="J470" r:id="rId201" xr:uid="{28D709C8-74F8-41C7-A506-043F95903716}"/>
    <hyperlink ref="J484" r:id="rId202" xr:uid="{1F331497-0D77-4123-B337-6E4BACC09796}"/>
    <hyperlink ref="J505" r:id="rId203" xr:uid="{A6C98AE4-40BF-4ED3-BBBB-21F973CAE664}"/>
    <hyperlink ref="J490" r:id="rId204" xr:uid="{6FE51F84-7606-4918-8603-DA0FEB34A0E3}"/>
    <hyperlink ref="J465" r:id="rId205" xr:uid="{9A3E8291-528C-4AE9-81EE-558E4456BE8E}"/>
    <hyperlink ref="J558" r:id="rId206" xr:uid="{E4873FB5-92B0-4FF4-9EFB-BCF6E871F34B}"/>
  </hyperlinks>
  <pageMargins left="0.25" right="0.25" top="0.75" bottom="0.75" header="0.3" footer="0.3"/>
  <pageSetup paperSize="9" scale="40" orientation="portrait" horizontalDpi="360" verticalDpi="360" r:id="rId2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</vt:lpstr>
      <vt:lpstr>'2025'!Print_Area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中村行輝</dc:creator>
  <cp:keywords/>
  <dc:description/>
  <cp:lastModifiedBy>雄介 柴田</cp:lastModifiedBy>
  <cp:revision/>
  <cp:lastPrinted>2025-12-09T09:28:49Z</cp:lastPrinted>
  <dcterms:created xsi:type="dcterms:W3CDTF">2015-06-05T18:19:34Z</dcterms:created>
  <dcterms:modified xsi:type="dcterms:W3CDTF">2026-10-03T10:22:35Z</dcterms:modified>
  <cp:category/>
  <cp:contentStatus/>
</cp:coreProperties>
</file>